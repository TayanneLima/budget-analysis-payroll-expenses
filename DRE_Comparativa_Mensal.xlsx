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Tayanne\Downloads\dre pessoal\"/>
    </mc:Choice>
  </mc:AlternateContent>
  <xr:revisionPtr revIDLastSave="0" documentId="13_ncr:1_{3BE92002-BCC8-42A9-AA0E-650E49F6EBB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RE_Mensal" sheetId="1" r:id="rId1"/>
    <sheet name="Dados_Brutos" sheetId="2" r:id="rId2"/>
  </sheets>
  <definedNames>
    <definedName name="_xlnm._FilterDatabase" localSheetId="1" hidden="1">Dados_Brutos!$A$2:$H$182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" i="2" l="1"/>
  <c r="E1" i="2"/>
  <c r="J1" i="2" s="1"/>
  <c r="AM26" i="1"/>
  <c r="AJ22" i="1"/>
  <c r="AK22" i="1" s="1"/>
  <c r="AI22" i="1"/>
  <c r="AG22" i="1"/>
  <c r="AD22" i="1"/>
  <c r="AE22" i="1" s="1"/>
  <c r="AC22" i="1"/>
  <c r="AM20" i="1"/>
  <c r="AN20" i="1" s="1"/>
  <c r="AL20" i="1"/>
  <c r="AK20" i="1"/>
  <c r="AH20" i="1"/>
  <c r="AE20" i="1"/>
  <c r="AB20" i="1"/>
  <c r="Y20" i="1"/>
  <c r="V20" i="1"/>
  <c r="S20" i="1"/>
  <c r="P20" i="1"/>
  <c r="M20" i="1"/>
  <c r="J20" i="1"/>
  <c r="G20" i="1"/>
  <c r="D20" i="1"/>
  <c r="AM19" i="1"/>
  <c r="AN19" i="1" s="1"/>
  <c r="AL19" i="1"/>
  <c r="AK19" i="1"/>
  <c r="AH19" i="1"/>
  <c r="AE19" i="1"/>
  <c r="AB19" i="1"/>
  <c r="Y19" i="1"/>
  <c r="V19" i="1"/>
  <c r="S19" i="1"/>
  <c r="P19" i="1"/>
  <c r="M19" i="1"/>
  <c r="J19" i="1"/>
  <c r="G19" i="1"/>
  <c r="D19" i="1"/>
  <c r="AM18" i="1"/>
  <c r="AN18" i="1" s="1"/>
  <c r="AL18" i="1"/>
  <c r="AK18" i="1"/>
  <c r="AH18" i="1"/>
  <c r="AE18" i="1"/>
  <c r="AB18" i="1"/>
  <c r="Y18" i="1"/>
  <c r="V18" i="1"/>
  <c r="S18" i="1"/>
  <c r="P18" i="1"/>
  <c r="M18" i="1"/>
  <c r="J18" i="1"/>
  <c r="G18" i="1"/>
  <c r="D18" i="1"/>
  <c r="AN17" i="1"/>
  <c r="AM17" i="1"/>
  <c r="AL17" i="1"/>
  <c r="AK17" i="1"/>
  <c r="AH17" i="1"/>
  <c r="AE17" i="1"/>
  <c r="AB17" i="1"/>
  <c r="Y17" i="1"/>
  <c r="V17" i="1"/>
  <c r="S17" i="1"/>
  <c r="P17" i="1"/>
  <c r="M17" i="1"/>
  <c r="J17" i="1"/>
  <c r="G17" i="1"/>
  <c r="D17" i="1"/>
  <c r="AM16" i="1"/>
  <c r="AN16" i="1" s="1"/>
  <c r="AL16" i="1"/>
  <c r="AK16" i="1"/>
  <c r="AH16" i="1"/>
  <c r="AE16" i="1"/>
  <c r="AB16" i="1"/>
  <c r="Y16" i="1"/>
  <c r="V16" i="1"/>
  <c r="S16" i="1"/>
  <c r="P16" i="1"/>
  <c r="M16" i="1"/>
  <c r="J16" i="1"/>
  <c r="G16" i="1"/>
  <c r="D16" i="1"/>
  <c r="AM15" i="1"/>
  <c r="AN15" i="1" s="1"/>
  <c r="AL15" i="1"/>
  <c r="AK15" i="1"/>
  <c r="AH15" i="1"/>
  <c r="AE15" i="1"/>
  <c r="AB15" i="1"/>
  <c r="Y15" i="1"/>
  <c r="V15" i="1"/>
  <c r="S15" i="1"/>
  <c r="P15" i="1"/>
  <c r="M15" i="1"/>
  <c r="J15" i="1"/>
  <c r="G15" i="1"/>
  <c r="D15" i="1"/>
  <c r="AM14" i="1"/>
  <c r="AM13" i="1" s="1"/>
  <c r="AL14" i="1"/>
  <c r="AL13" i="1" s="1"/>
  <c r="AK14" i="1"/>
  <c r="AH14" i="1"/>
  <c r="AE14" i="1"/>
  <c r="AB14" i="1"/>
  <c r="Y14" i="1"/>
  <c r="V14" i="1"/>
  <c r="S14" i="1"/>
  <c r="P14" i="1"/>
  <c r="M14" i="1"/>
  <c r="J14" i="1"/>
  <c r="G14" i="1"/>
  <c r="D14" i="1"/>
  <c r="AJ13" i="1"/>
  <c r="AK13" i="1" s="1"/>
  <c r="AI13" i="1"/>
  <c r="AG13" i="1"/>
  <c r="AH13" i="1" s="1"/>
  <c r="AF13" i="1"/>
  <c r="AD13" i="1"/>
  <c r="AE13" i="1" s="1"/>
  <c r="AC13" i="1"/>
  <c r="AB13" i="1"/>
  <c r="AA13" i="1"/>
  <c r="Z13" i="1"/>
  <c r="X13" i="1"/>
  <c r="Y13" i="1" s="1"/>
  <c r="W13" i="1"/>
  <c r="U13" i="1"/>
  <c r="V13" i="1" s="1"/>
  <c r="T13" i="1"/>
  <c r="R13" i="1"/>
  <c r="R22" i="1" s="1"/>
  <c r="Q13" i="1"/>
  <c r="Q22" i="1" s="1"/>
  <c r="P13" i="1"/>
  <c r="O13" i="1"/>
  <c r="N13" i="1"/>
  <c r="L13" i="1"/>
  <c r="M13" i="1" s="1"/>
  <c r="K13" i="1"/>
  <c r="I13" i="1"/>
  <c r="J13" i="1" s="1"/>
  <c r="H13" i="1"/>
  <c r="F13" i="1"/>
  <c r="F22" i="1" s="1"/>
  <c r="E13" i="1"/>
  <c r="E22" i="1" s="1"/>
  <c r="D13" i="1"/>
  <c r="C13" i="1"/>
  <c r="B13" i="1"/>
  <c r="AM12" i="1"/>
  <c r="AN12" i="1" s="1"/>
  <c r="AL12" i="1"/>
  <c r="AK12" i="1"/>
  <c r="AH12" i="1"/>
  <c r="AE12" i="1"/>
  <c r="AB12" i="1"/>
  <c r="Y12" i="1"/>
  <c r="V12" i="1"/>
  <c r="S12" i="1"/>
  <c r="P12" i="1"/>
  <c r="M12" i="1"/>
  <c r="J12" i="1"/>
  <c r="G12" i="1"/>
  <c r="D12" i="1"/>
  <c r="AM11" i="1"/>
  <c r="AN11" i="1" s="1"/>
  <c r="AL11" i="1"/>
  <c r="AK11" i="1"/>
  <c r="AH11" i="1"/>
  <c r="AE11" i="1"/>
  <c r="AB11" i="1"/>
  <c r="Y11" i="1"/>
  <c r="V11" i="1"/>
  <c r="S11" i="1"/>
  <c r="P11" i="1"/>
  <c r="M11" i="1"/>
  <c r="J11" i="1"/>
  <c r="G11" i="1"/>
  <c r="D11" i="1"/>
  <c r="AM10" i="1"/>
  <c r="AN10" i="1" s="1"/>
  <c r="AL10" i="1"/>
  <c r="AK10" i="1"/>
  <c r="AJ10" i="1"/>
  <c r="AI10" i="1"/>
  <c r="AG10" i="1"/>
  <c r="AH10" i="1" s="1"/>
  <c r="AF10" i="1"/>
  <c r="AD10" i="1"/>
  <c r="AE10" i="1" s="1"/>
  <c r="AC10" i="1"/>
  <c r="AA10" i="1"/>
  <c r="AB10" i="1" s="1"/>
  <c r="Z10" i="1"/>
  <c r="Y10" i="1"/>
  <c r="X10" i="1"/>
  <c r="W10" i="1"/>
  <c r="U10" i="1"/>
  <c r="V10" i="1" s="1"/>
  <c r="T10" i="1"/>
  <c r="R10" i="1"/>
  <c r="S10" i="1" s="1"/>
  <c r="Q10" i="1"/>
  <c r="O10" i="1"/>
  <c r="P10" i="1" s="1"/>
  <c r="N10" i="1"/>
  <c r="M10" i="1"/>
  <c r="L10" i="1"/>
  <c r="K10" i="1"/>
  <c r="I10" i="1"/>
  <c r="J10" i="1" s="1"/>
  <c r="H10" i="1"/>
  <c r="F10" i="1"/>
  <c r="G10" i="1" s="1"/>
  <c r="E10" i="1"/>
  <c r="C10" i="1"/>
  <c r="D10" i="1" s="1"/>
  <c r="B10" i="1"/>
  <c r="AN9" i="1"/>
  <c r="AM9" i="1"/>
  <c r="AL9" i="1"/>
  <c r="AK9" i="1"/>
  <c r="AH9" i="1"/>
  <c r="AE9" i="1"/>
  <c r="AB9" i="1"/>
  <c r="Y9" i="1"/>
  <c r="V9" i="1"/>
  <c r="S9" i="1"/>
  <c r="P9" i="1"/>
  <c r="M9" i="1"/>
  <c r="J9" i="1"/>
  <c r="G9" i="1"/>
  <c r="D9" i="1"/>
  <c r="AM8" i="1"/>
  <c r="AN8" i="1" s="1"/>
  <c r="AL8" i="1"/>
  <c r="AK8" i="1"/>
  <c r="AH8" i="1"/>
  <c r="AE8" i="1"/>
  <c r="AB8" i="1"/>
  <c r="Y8" i="1"/>
  <c r="V8" i="1"/>
  <c r="S8" i="1"/>
  <c r="P8" i="1"/>
  <c r="M8" i="1"/>
  <c r="J8" i="1"/>
  <c r="G8" i="1"/>
  <c r="D8" i="1"/>
  <c r="AM7" i="1"/>
  <c r="AN7" i="1" s="1"/>
  <c r="AL7" i="1"/>
  <c r="AK7" i="1"/>
  <c r="AH7" i="1"/>
  <c r="AE7" i="1"/>
  <c r="AB7" i="1"/>
  <c r="Y7" i="1"/>
  <c r="V7" i="1"/>
  <c r="S7" i="1"/>
  <c r="P7" i="1"/>
  <c r="M7" i="1"/>
  <c r="J7" i="1"/>
  <c r="G7" i="1"/>
  <c r="D7" i="1"/>
  <c r="AM6" i="1"/>
  <c r="AN6" i="1" s="1"/>
  <c r="AL6" i="1"/>
  <c r="AK6" i="1"/>
  <c r="AH6" i="1"/>
  <c r="AE6" i="1"/>
  <c r="AB6" i="1"/>
  <c r="Y6" i="1"/>
  <c r="V6" i="1"/>
  <c r="S6" i="1"/>
  <c r="P6" i="1"/>
  <c r="M6" i="1"/>
  <c r="J6" i="1"/>
  <c r="G6" i="1"/>
  <c r="D6" i="1"/>
  <c r="AN5" i="1"/>
  <c r="AM5" i="1"/>
  <c r="AM3" i="1" s="1"/>
  <c r="AL5" i="1"/>
  <c r="AK5" i="1"/>
  <c r="AH5" i="1"/>
  <c r="AE5" i="1"/>
  <c r="AB5" i="1"/>
  <c r="Y5" i="1"/>
  <c r="V5" i="1"/>
  <c r="S5" i="1"/>
  <c r="P5" i="1"/>
  <c r="M5" i="1"/>
  <c r="J5" i="1"/>
  <c r="G5" i="1"/>
  <c r="D5" i="1"/>
  <c r="AM4" i="1"/>
  <c r="AN4" i="1" s="1"/>
  <c r="AL4" i="1"/>
  <c r="AL3" i="1" s="1"/>
  <c r="AL22" i="1" s="1"/>
  <c r="AK4" i="1"/>
  <c r="AH4" i="1"/>
  <c r="AE4" i="1"/>
  <c r="AB4" i="1"/>
  <c r="Y4" i="1"/>
  <c r="V4" i="1"/>
  <c r="S4" i="1"/>
  <c r="P4" i="1"/>
  <c r="M4" i="1"/>
  <c r="J4" i="1"/>
  <c r="G4" i="1"/>
  <c r="D4" i="1"/>
  <c r="AJ3" i="1"/>
  <c r="AK3" i="1" s="1"/>
  <c r="AI3" i="1"/>
  <c r="AH3" i="1"/>
  <c r="AG3" i="1"/>
  <c r="AF3" i="1"/>
  <c r="AF22" i="1" s="1"/>
  <c r="AD3" i="1"/>
  <c r="AE3" i="1" s="1"/>
  <c r="AC3" i="1"/>
  <c r="AA3" i="1"/>
  <c r="AA22" i="1" s="1"/>
  <c r="Z3" i="1"/>
  <c r="Z22" i="1" s="1"/>
  <c r="X3" i="1"/>
  <c r="X22" i="1" s="1"/>
  <c r="W3" i="1"/>
  <c r="W22" i="1" s="1"/>
  <c r="V3" i="1"/>
  <c r="U3" i="1"/>
  <c r="U22" i="1" s="1"/>
  <c r="T3" i="1"/>
  <c r="T22" i="1" s="1"/>
  <c r="R3" i="1"/>
  <c r="S3" i="1" s="1"/>
  <c r="Q3" i="1"/>
  <c r="O3" i="1"/>
  <c r="O22" i="1" s="1"/>
  <c r="P22" i="1" s="1"/>
  <c r="N3" i="1"/>
  <c r="N22" i="1" s="1"/>
  <c r="L3" i="1"/>
  <c r="L22" i="1" s="1"/>
  <c r="K3" i="1"/>
  <c r="K22" i="1" s="1"/>
  <c r="J3" i="1"/>
  <c r="I3" i="1"/>
  <c r="I22" i="1" s="1"/>
  <c r="H3" i="1"/>
  <c r="H22" i="1" s="1"/>
  <c r="F3" i="1"/>
  <c r="G3" i="1" s="1"/>
  <c r="E3" i="1"/>
  <c r="C3" i="1"/>
  <c r="C22" i="1" s="1"/>
  <c r="D22" i="1" s="1"/>
  <c r="B3" i="1"/>
  <c r="B22" i="1" s="1"/>
  <c r="G22" i="1" l="1"/>
  <c r="M22" i="1"/>
  <c r="S22" i="1"/>
  <c r="Y22" i="1"/>
  <c r="AB22" i="1"/>
  <c r="V22" i="1"/>
  <c r="AM22" i="1"/>
  <c r="AN22" i="1" s="1"/>
  <c r="AN3" i="1"/>
  <c r="AH22" i="1"/>
  <c r="J22" i="1"/>
  <c r="AN13" i="1"/>
  <c r="Y3" i="1"/>
  <c r="G13" i="1"/>
  <c r="S13" i="1"/>
  <c r="AN14" i="1"/>
  <c r="M3" i="1"/>
  <c r="D3" i="1"/>
  <c r="P3" i="1"/>
  <c r="AB3" i="1"/>
</calcChain>
</file>

<file path=xl/sharedStrings.xml><?xml version="1.0" encoding="utf-8"?>
<sst xmlns="http://schemas.openxmlformats.org/spreadsheetml/2006/main" count="803" uniqueCount="78">
  <si>
    <t>Estrutura de Contas</t>
  </si>
  <si>
    <t>01-Jan (Realizado)</t>
  </si>
  <si>
    <t>02-Fev (Realizado)</t>
  </si>
  <si>
    <t>03-Mar (Realizado)</t>
  </si>
  <si>
    <t>04-Abr (Realizado)</t>
  </si>
  <si>
    <t>05-Mai (Realizado)</t>
  </si>
  <si>
    <t>06-Jun (Realizado)</t>
  </si>
  <si>
    <t>07-Jul (Realizado)</t>
  </si>
  <si>
    <t>08-Ago (Forecast)</t>
  </si>
  <si>
    <t>09-Set (Forecast)</t>
  </si>
  <si>
    <t>10-Out (Forecast)</t>
  </si>
  <si>
    <t>11-Nov (Forecast)</t>
  </si>
  <si>
    <t>12-Dez (Forecast)</t>
  </si>
  <si>
    <t>Total Ano (Realizado + Forecast)</t>
  </si>
  <si>
    <t>Budget</t>
  </si>
  <si>
    <t>Realizado</t>
  </si>
  <si>
    <t>Desvio</t>
  </si>
  <si>
    <t>Forecast</t>
  </si>
  <si>
    <t>Real.+Forecast</t>
  </si>
  <si>
    <t>Total 0331 - Salários e afins</t>
  </si>
  <si>
    <t xml:space="preserve">    033101 - Salários e ordenados</t>
  </si>
  <si>
    <t xml:space="preserve">    033102 - Férias</t>
  </si>
  <si>
    <t xml:space="preserve">    033103 - 13º salário</t>
  </si>
  <si>
    <t xml:space="preserve">    033104 - Rescisões</t>
  </si>
  <si>
    <t xml:space="preserve">    033105 - Hora extra</t>
  </si>
  <si>
    <t xml:space="preserve">    033106 - Adicional noturno</t>
  </si>
  <si>
    <t>Total 0332 - Encargos trabalhistas</t>
  </si>
  <si>
    <t xml:space="preserve">    033201 - FGTS</t>
  </si>
  <si>
    <t xml:space="preserve">    033202 - INSS</t>
  </si>
  <si>
    <t>Total 0334 - Benefícios</t>
  </si>
  <si>
    <t xml:space="preserve">    033401 - VR/VA</t>
  </si>
  <si>
    <t xml:space="preserve">    033402 - Cesta básica</t>
  </si>
  <si>
    <t xml:space="preserve">    033403 - Plano odontológico</t>
  </si>
  <si>
    <t xml:space="preserve">    033404 - Convênio médico</t>
  </si>
  <si>
    <t xml:space="preserve">    033405 - Seguro de vida</t>
  </si>
  <si>
    <t xml:space="preserve">    033406 - Vale transporte</t>
  </si>
  <si>
    <t xml:space="preserve">    033407 - Bônus/PPR</t>
  </si>
  <si>
    <t>TOTAL GERAL</t>
  </si>
  <si>
    <t>◼ Azul = Realizado (fato fechado)</t>
  </si>
  <si>
    <t>◼ Marrom = Forecast (projeção, ainda não fechado)</t>
  </si>
  <si>
    <t>Budget = plano anual original, fixo desde o início do ano (não muda mês a mês).</t>
  </si>
  <si>
    <t>Mês</t>
  </si>
  <si>
    <t>Cenário</t>
  </si>
  <si>
    <t>Grupo</t>
  </si>
  <si>
    <t>Conta</t>
  </si>
  <si>
    <t>Diferença</t>
  </si>
  <si>
    <t>Diferença_%</t>
  </si>
  <si>
    <t>01-Jan</t>
  </si>
  <si>
    <t>0331 - Salários e afins</t>
  </si>
  <si>
    <t>033101 - Salários e ordenados</t>
  </si>
  <si>
    <t>033102 - Férias</t>
  </si>
  <si>
    <t>033103 - 13º salário</t>
  </si>
  <si>
    <t>033104 - Rescisões</t>
  </si>
  <si>
    <t>033105 - Hora extra</t>
  </si>
  <si>
    <t>033106 - Adicional noturno</t>
  </si>
  <si>
    <t>0332 - Encargos trabalhistas</t>
  </si>
  <si>
    <t>033201 - FGTS</t>
  </si>
  <si>
    <t>033202 - INSS</t>
  </si>
  <si>
    <t>0334 - Benefícios</t>
  </si>
  <si>
    <t>033401 - VR/VA</t>
  </si>
  <si>
    <t>033402 - Cesta básica</t>
  </si>
  <si>
    <t>033403 - Plano odontológico</t>
  </si>
  <si>
    <t>033404 - Convênio médico</t>
  </si>
  <si>
    <t>033405 - Seguro de vida</t>
  </si>
  <si>
    <t>033406 - Vale transporte</t>
  </si>
  <si>
    <t>033407 - Bônus/PPR</t>
  </si>
  <si>
    <t>02-Fev</t>
  </si>
  <si>
    <t>03-Mar</t>
  </si>
  <si>
    <t>04-Abr</t>
  </si>
  <si>
    <t>05-Mai</t>
  </si>
  <si>
    <t>06-Jun</t>
  </si>
  <si>
    <t>07-Jul</t>
  </si>
  <si>
    <t>08-Ago</t>
  </si>
  <si>
    <t>Projetado</t>
  </si>
  <si>
    <t>09-Set</t>
  </si>
  <si>
    <t>10-Out</t>
  </si>
  <si>
    <t>11-Nov</t>
  </si>
  <si>
    <t>12-Dez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</si>
</sst>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;[Red]&quot;-R$ &quot;#,##0.00"/>
    <numFmt numFmtId="165" formatCode="0.00\%"/>
    <numFmt numFmtId="167" formatCode="#,##0.00;[Red]#,##0.00"/>
  </numFmts>
  <fonts count="8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i/>
      <sz val="10"/>
      <color rgb="FF1F497D"/>
      <name val="Arial"/>
      <charset val="1"/>
    </font>
    <font>
      <i/>
      <sz val="10"/>
      <color rgb="FF6E4E1E"/>
      <name val="Arial"/>
      <charset val="1"/>
    </font>
    <font>
      <i/>
      <sz val="10"/>
      <color rgb="FF66666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6E4E1E"/>
        <bgColor rgb="FF666666"/>
      </patternFill>
    </fill>
    <fill>
      <patternFill patternType="solid">
        <fgColor rgb="FFE9EDF4"/>
        <bgColor rgb="FFF9FAFB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2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/>
    <xf numFmtId="164" fontId="3" fillId="4" borderId="1" xfId="0" applyNumberFormat="1" applyFont="1" applyFill="1" applyBorder="1"/>
    <xf numFmtId="0" fontId="4" fillId="5" borderId="1" xfId="0" applyFont="1" applyFill="1" applyBorder="1"/>
    <xf numFmtId="164" fontId="4" fillId="5" borderId="1" xfId="0" applyNumberFormat="1" applyFont="1" applyFill="1" applyBorder="1"/>
    <xf numFmtId="0" fontId="4" fillId="6" borderId="1" xfId="0" applyFont="1" applyFill="1" applyBorder="1"/>
    <xf numFmtId="164" fontId="4" fillId="6" borderId="1" xfId="0" applyNumberFormat="1" applyFont="1" applyFill="1" applyBorder="1"/>
    <xf numFmtId="0" fontId="2" fillId="2" borderId="2" xfId="0" applyFont="1" applyFill="1" applyBorder="1"/>
    <xf numFmtId="164" fontId="2" fillId="2" borderId="2" xfId="0" applyNumberFormat="1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0" fontId="1" fillId="0" borderId="0" xfId="1" applyNumberFormat="1"/>
    <xf numFmtId="167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E9ED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6E4E1E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showGridLines="0" zoomScaleNormal="100" workbookViewId="0">
      <pane xSplit="1" ySplit="2" topLeftCell="AE3" activePane="bottomRight" state="frozen"/>
      <selection pane="topRight" activeCell="B1" sqref="B1"/>
      <selection pane="bottomLeft" activeCell="A3" sqref="A3"/>
      <selection pane="bottomRight" activeCell="AM26" sqref="AM26"/>
    </sheetView>
  </sheetViews>
  <sheetFormatPr defaultColWidth="8.6640625" defaultRowHeight="14.4" x14ac:dyDescent="0.3"/>
  <cols>
    <col min="1" max="1" width="42" customWidth="1"/>
    <col min="2" max="2" width="18" customWidth="1"/>
    <col min="3" max="3" width="16" customWidth="1"/>
    <col min="4" max="4" width="11" customWidth="1"/>
    <col min="5" max="5" width="18" customWidth="1"/>
    <col min="6" max="6" width="16" customWidth="1"/>
    <col min="7" max="7" width="11" customWidth="1"/>
    <col min="8" max="8" width="18" customWidth="1"/>
    <col min="9" max="9" width="16" customWidth="1"/>
    <col min="10" max="10" width="11" customWidth="1"/>
    <col min="11" max="11" width="18" customWidth="1"/>
    <col min="12" max="12" width="16" customWidth="1"/>
    <col min="13" max="13" width="11" customWidth="1"/>
    <col min="14" max="14" width="18" customWidth="1"/>
    <col min="15" max="15" width="16" customWidth="1"/>
    <col min="16" max="16" width="11" customWidth="1"/>
    <col min="17" max="17" width="18" customWidth="1"/>
    <col min="18" max="18" width="16" customWidth="1"/>
    <col min="19" max="19" width="11" customWidth="1"/>
    <col min="20" max="20" width="18" customWidth="1"/>
    <col min="21" max="21" width="16" customWidth="1"/>
    <col min="22" max="22" width="11" customWidth="1"/>
    <col min="23" max="23" width="18" customWidth="1"/>
    <col min="24" max="24" width="16" customWidth="1"/>
    <col min="25" max="25" width="13.109375" bestFit="1" customWidth="1"/>
    <col min="26" max="27" width="18" customWidth="1"/>
    <col min="28" max="28" width="13.109375" bestFit="1" customWidth="1"/>
    <col min="29" max="30" width="18" customWidth="1"/>
    <col min="31" max="31" width="13" customWidth="1"/>
    <col min="32" max="33" width="18" customWidth="1"/>
    <col min="34" max="34" width="13" customWidth="1"/>
    <col min="35" max="36" width="18" customWidth="1"/>
    <col min="37" max="37" width="13" customWidth="1"/>
    <col min="38" max="39" width="18" customWidth="1"/>
    <col min="40" max="40" width="14.88671875" bestFit="1" customWidth="1"/>
  </cols>
  <sheetData>
    <row r="1" spans="1:40" ht="15" customHeight="1" x14ac:dyDescent="0.3">
      <c r="A1" s="3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  <c r="T1" s="2" t="s">
        <v>7</v>
      </c>
      <c r="U1" s="2"/>
      <c r="V1" s="2"/>
      <c r="W1" s="1" t="s">
        <v>8</v>
      </c>
      <c r="X1" s="1"/>
      <c r="Y1" s="1"/>
      <c r="Z1" s="1" t="s">
        <v>9</v>
      </c>
      <c r="AA1" s="1"/>
      <c r="AB1" s="1"/>
      <c r="AC1" s="1" t="s">
        <v>10</v>
      </c>
      <c r="AD1" s="1"/>
      <c r="AE1" s="1"/>
      <c r="AF1" s="1" t="s">
        <v>11</v>
      </c>
      <c r="AG1" s="1"/>
      <c r="AH1" s="1"/>
      <c r="AI1" s="1" t="s">
        <v>12</v>
      </c>
      <c r="AJ1" s="1"/>
      <c r="AK1" s="1"/>
      <c r="AL1" s="2" t="s">
        <v>13</v>
      </c>
      <c r="AM1" s="2"/>
      <c r="AN1" s="2"/>
    </row>
    <row r="2" spans="1:40" x14ac:dyDescent="0.3">
      <c r="A2" s="3"/>
      <c r="B2" s="4" t="s">
        <v>14</v>
      </c>
      <c r="C2" s="4" t="s">
        <v>15</v>
      </c>
      <c r="D2" s="4" t="s">
        <v>16</v>
      </c>
      <c r="E2" s="4" t="s">
        <v>14</v>
      </c>
      <c r="F2" s="4" t="s">
        <v>15</v>
      </c>
      <c r="G2" s="4" t="s">
        <v>16</v>
      </c>
      <c r="H2" s="4" t="s">
        <v>14</v>
      </c>
      <c r="I2" s="4" t="s">
        <v>15</v>
      </c>
      <c r="J2" s="4" t="s">
        <v>16</v>
      </c>
      <c r="K2" s="4" t="s">
        <v>14</v>
      </c>
      <c r="L2" s="4" t="s">
        <v>15</v>
      </c>
      <c r="M2" s="4" t="s">
        <v>16</v>
      </c>
      <c r="N2" s="4" t="s">
        <v>14</v>
      </c>
      <c r="O2" s="4" t="s">
        <v>15</v>
      </c>
      <c r="P2" s="4" t="s">
        <v>16</v>
      </c>
      <c r="Q2" s="4" t="s">
        <v>14</v>
      </c>
      <c r="R2" s="4" t="s">
        <v>15</v>
      </c>
      <c r="S2" s="4" t="s">
        <v>16</v>
      </c>
      <c r="T2" s="4" t="s">
        <v>14</v>
      </c>
      <c r="U2" s="4" t="s">
        <v>15</v>
      </c>
      <c r="V2" s="4" t="s">
        <v>16</v>
      </c>
      <c r="W2" s="5" t="s">
        <v>14</v>
      </c>
      <c r="X2" s="5" t="s">
        <v>17</v>
      </c>
      <c r="Y2" s="5" t="s">
        <v>16</v>
      </c>
      <c r="Z2" s="5" t="s">
        <v>14</v>
      </c>
      <c r="AA2" s="5" t="s">
        <v>17</v>
      </c>
      <c r="AB2" s="5" t="s">
        <v>16</v>
      </c>
      <c r="AC2" s="5" t="s">
        <v>14</v>
      </c>
      <c r="AD2" s="5" t="s">
        <v>17</v>
      </c>
      <c r="AE2" s="5" t="s">
        <v>16</v>
      </c>
      <c r="AF2" s="5" t="s">
        <v>14</v>
      </c>
      <c r="AG2" s="5" t="s">
        <v>17</v>
      </c>
      <c r="AH2" s="5" t="s">
        <v>16</v>
      </c>
      <c r="AI2" s="5" t="s">
        <v>14</v>
      </c>
      <c r="AJ2" s="5" t="s">
        <v>17</v>
      </c>
      <c r="AK2" s="5" t="s">
        <v>16</v>
      </c>
      <c r="AL2" s="4" t="s">
        <v>14</v>
      </c>
      <c r="AM2" s="4" t="s">
        <v>18</v>
      </c>
      <c r="AN2" s="4" t="s">
        <v>16</v>
      </c>
    </row>
    <row r="3" spans="1:40" x14ac:dyDescent="0.3">
      <c r="A3" s="6" t="s">
        <v>19</v>
      </c>
      <c r="B3" s="7">
        <f>SUM(B4:B9)</f>
        <v>-2563856</v>
      </c>
      <c r="C3" s="7">
        <f>SUM(C4:C9)</f>
        <v>-2525466.04</v>
      </c>
      <c r="D3" s="7">
        <f t="shared" ref="D3:D20" si="0">C3-B3</f>
        <v>38389.959999999963</v>
      </c>
      <c r="E3" s="7">
        <f>SUM(E4:E9)</f>
        <v>-2419856</v>
      </c>
      <c r="F3" s="7">
        <f>SUM(F4:F9)</f>
        <v>-2502122.8600000003</v>
      </c>
      <c r="G3" s="7">
        <f t="shared" ref="G3:G20" si="1">F3-E3</f>
        <v>-82266.860000000335</v>
      </c>
      <c r="H3" s="7">
        <f>SUM(H4:H9)</f>
        <v>-2419856</v>
      </c>
      <c r="I3" s="7">
        <f>SUM(I4:I9)</f>
        <v>-2385281.6799999997</v>
      </c>
      <c r="J3" s="7">
        <f t="shared" ref="J3:J20" si="2">I3-H3</f>
        <v>34574.320000000298</v>
      </c>
      <c r="K3" s="7">
        <f>SUM(K4:K9)</f>
        <v>-2419856</v>
      </c>
      <c r="L3" s="7">
        <f>SUM(L4:L9)</f>
        <v>-2394759.98</v>
      </c>
      <c r="M3" s="7">
        <f t="shared" ref="M3:M20" si="3">L3-K3</f>
        <v>25096.020000000019</v>
      </c>
      <c r="N3" s="7">
        <f>SUM(N4:N9)</f>
        <v>-2419856</v>
      </c>
      <c r="O3" s="7">
        <f>SUM(O4:O9)</f>
        <v>-2443675.2100000004</v>
      </c>
      <c r="P3" s="7">
        <f t="shared" ref="P3:P20" si="4">O3-N3</f>
        <v>-23819.210000000428</v>
      </c>
      <c r="Q3" s="7">
        <f>SUM(Q4:Q9)</f>
        <v>-2419856</v>
      </c>
      <c r="R3" s="7">
        <f>SUM(R4:R9)</f>
        <v>-2566046.73</v>
      </c>
      <c r="S3" s="7">
        <f t="shared" ref="S3:S20" si="5">R3-Q3</f>
        <v>-146190.72999999998</v>
      </c>
      <c r="T3" s="7">
        <f>SUM(T4:T9)</f>
        <v>-2563856</v>
      </c>
      <c r="U3" s="7">
        <f>SUM(U4:U9)</f>
        <v>-2468886.17</v>
      </c>
      <c r="V3" s="7">
        <f t="shared" ref="V3:V20" si="6">U3-T3</f>
        <v>94969.830000000075</v>
      </c>
      <c r="W3" s="7">
        <f>SUM(W4:W9)</f>
        <v>-2419856</v>
      </c>
      <c r="X3" s="7">
        <f>SUM(X4:X9)</f>
        <v>-2400016</v>
      </c>
      <c r="Y3" s="7">
        <f t="shared" ref="Y3:Y20" si="7">X3-W3</f>
        <v>19840</v>
      </c>
      <c r="Z3" s="7">
        <f>SUM(Z4:Z9)</f>
        <v>-2419856</v>
      </c>
      <c r="AA3" s="7">
        <f>SUM(AA4:AA9)</f>
        <v>-2400016</v>
      </c>
      <c r="AB3" s="7">
        <f t="shared" ref="AB3:AB20" si="8">AA3-Z3</f>
        <v>19840</v>
      </c>
      <c r="AC3" s="7">
        <f>SUM(AC4:AC9)</f>
        <v>-2419856</v>
      </c>
      <c r="AD3" s="7">
        <f>SUM(AD4:AD9)</f>
        <v>-2400016</v>
      </c>
      <c r="AE3" s="7">
        <f t="shared" ref="AE3:AE20" si="9">AD3-AC3</f>
        <v>19840</v>
      </c>
      <c r="AF3" s="7">
        <f>SUM(AF4:AF9)</f>
        <v>-3667256</v>
      </c>
      <c r="AG3" s="7">
        <f>SUM(AG4:AG9)</f>
        <v>-3636416</v>
      </c>
      <c r="AH3" s="7">
        <f t="shared" ref="AH3:AH20" si="10">AG3-AF3</f>
        <v>30840</v>
      </c>
      <c r="AI3" s="7">
        <f>SUM(AI4:AI9)</f>
        <v>-3811256</v>
      </c>
      <c r="AJ3" s="7">
        <f>SUM(AJ4:AJ9)</f>
        <v>-3780416</v>
      </c>
      <c r="AK3" s="7">
        <f t="shared" ref="AK3:AK20" si="11">AJ3-AI3</f>
        <v>30840</v>
      </c>
      <c r="AL3" s="7">
        <f>SUM(AL4:AL9)</f>
        <v>-31965072</v>
      </c>
      <c r="AM3" s="7">
        <f>SUM(AM4:AM9)</f>
        <v>-31903118.670000006</v>
      </c>
      <c r="AN3" s="7">
        <f t="shared" ref="AN3:AN20" si="12">AM3-AL3</f>
        <v>61953.329999994487</v>
      </c>
    </row>
    <row r="4" spans="1:40" x14ac:dyDescent="0.3">
      <c r="A4" s="8" t="s">
        <v>20</v>
      </c>
      <c r="B4" s="9">
        <v>-2249856</v>
      </c>
      <c r="C4" s="9">
        <v>-2197867.09</v>
      </c>
      <c r="D4" s="9">
        <f t="shared" si="0"/>
        <v>51988.910000000149</v>
      </c>
      <c r="E4" s="9">
        <v>-2249856</v>
      </c>
      <c r="F4" s="9">
        <v>-2273079.62</v>
      </c>
      <c r="G4" s="9">
        <f t="shared" si="1"/>
        <v>-23223.620000000112</v>
      </c>
      <c r="H4" s="9">
        <v>-2249856</v>
      </c>
      <c r="I4" s="9">
        <v>-2195031.08</v>
      </c>
      <c r="J4" s="9">
        <f t="shared" si="2"/>
        <v>54824.919999999925</v>
      </c>
      <c r="K4" s="9">
        <v>-2249856</v>
      </c>
      <c r="L4" s="9">
        <v>-2221250.2599999998</v>
      </c>
      <c r="M4" s="9">
        <f t="shared" si="3"/>
        <v>28605.740000000224</v>
      </c>
      <c r="N4" s="9">
        <v>-2249856</v>
      </c>
      <c r="O4" s="9">
        <v>-2245348.37</v>
      </c>
      <c r="P4" s="9">
        <f t="shared" si="4"/>
        <v>4507.6299999998882</v>
      </c>
      <c r="Q4" s="9">
        <v>-2249856</v>
      </c>
      <c r="R4" s="9">
        <v>-2296768.25</v>
      </c>
      <c r="S4" s="9">
        <f t="shared" si="5"/>
        <v>-46912.25</v>
      </c>
      <c r="T4" s="9">
        <v>-2249856</v>
      </c>
      <c r="U4" s="9">
        <v>-2145031.42</v>
      </c>
      <c r="V4" s="9">
        <f t="shared" si="6"/>
        <v>104824.58000000007</v>
      </c>
      <c r="W4" s="9">
        <v>-2249856</v>
      </c>
      <c r="X4" s="9">
        <v>-2230016</v>
      </c>
      <c r="Y4" s="9">
        <f t="shared" si="7"/>
        <v>19840</v>
      </c>
      <c r="Z4" s="9">
        <v>-2249856</v>
      </c>
      <c r="AA4" s="9">
        <v>-2230016</v>
      </c>
      <c r="AB4" s="9">
        <f t="shared" si="8"/>
        <v>19840</v>
      </c>
      <c r="AC4" s="9">
        <v>-2249856</v>
      </c>
      <c r="AD4" s="9">
        <v>-2230016</v>
      </c>
      <c r="AE4" s="9">
        <f t="shared" si="9"/>
        <v>19840</v>
      </c>
      <c r="AF4" s="9">
        <v>-2249856</v>
      </c>
      <c r="AG4" s="9">
        <v>-2230016</v>
      </c>
      <c r="AH4" s="9">
        <f t="shared" si="10"/>
        <v>19840</v>
      </c>
      <c r="AI4" s="9">
        <v>-2249856</v>
      </c>
      <c r="AJ4" s="9">
        <v>-2230016</v>
      </c>
      <c r="AK4" s="9">
        <f t="shared" si="11"/>
        <v>19840</v>
      </c>
      <c r="AL4" s="9">
        <f t="shared" ref="AL4:AM9" si="13">B4+E4+H4+K4+N4+Q4+T4+W4+Z4+AC4+AF4+AI4</f>
        <v>-26998272</v>
      </c>
      <c r="AM4" s="9">
        <f t="shared" si="13"/>
        <v>-26724456.090000004</v>
      </c>
      <c r="AN4" s="9">
        <f t="shared" si="12"/>
        <v>273815.90999999642</v>
      </c>
    </row>
    <row r="5" spans="1:40" x14ac:dyDescent="0.3">
      <c r="A5" s="10" t="s">
        <v>21</v>
      </c>
      <c r="B5" s="11">
        <v>-184000</v>
      </c>
      <c r="C5" s="11">
        <v>-186059.51999999999</v>
      </c>
      <c r="D5" s="11">
        <f t="shared" si="0"/>
        <v>-2059.5199999999895</v>
      </c>
      <c r="E5" s="11">
        <v>-40000</v>
      </c>
      <c r="F5" s="11">
        <v>-40048.49</v>
      </c>
      <c r="G5" s="11">
        <f t="shared" si="1"/>
        <v>-48.489999999997963</v>
      </c>
      <c r="H5" s="11">
        <v>-40000</v>
      </c>
      <c r="I5" s="11">
        <v>-40303.57</v>
      </c>
      <c r="J5" s="11">
        <f t="shared" si="2"/>
        <v>-303.56999999999971</v>
      </c>
      <c r="K5" s="11">
        <v>-40000</v>
      </c>
      <c r="L5" s="11">
        <v>-40627.18</v>
      </c>
      <c r="M5" s="11">
        <f t="shared" si="3"/>
        <v>-627.18000000000029</v>
      </c>
      <c r="N5" s="11">
        <v>-40000</v>
      </c>
      <c r="O5" s="11">
        <v>-39983.449999999997</v>
      </c>
      <c r="P5" s="11">
        <f t="shared" si="4"/>
        <v>16.55000000000291</v>
      </c>
      <c r="Q5" s="11">
        <v>-40000</v>
      </c>
      <c r="R5" s="11">
        <v>-38587.949999999997</v>
      </c>
      <c r="S5" s="11">
        <f t="shared" si="5"/>
        <v>1412.0500000000029</v>
      </c>
      <c r="T5" s="11">
        <v>-184000</v>
      </c>
      <c r="U5" s="11">
        <v>-181022.28</v>
      </c>
      <c r="V5" s="11">
        <f t="shared" si="6"/>
        <v>2977.7200000000012</v>
      </c>
      <c r="W5" s="11">
        <v>-40000</v>
      </c>
      <c r="X5" s="11">
        <v>-40000</v>
      </c>
      <c r="Y5" s="11">
        <f t="shared" si="7"/>
        <v>0</v>
      </c>
      <c r="Z5" s="11">
        <v>-40000</v>
      </c>
      <c r="AA5" s="11">
        <v>-40000</v>
      </c>
      <c r="AB5" s="11">
        <f t="shared" si="8"/>
        <v>0</v>
      </c>
      <c r="AC5" s="11">
        <v>-40000</v>
      </c>
      <c r="AD5" s="11">
        <v>-40000</v>
      </c>
      <c r="AE5" s="11">
        <f t="shared" si="9"/>
        <v>0</v>
      </c>
      <c r="AF5" s="11">
        <v>-40000</v>
      </c>
      <c r="AG5" s="11">
        <v>-40000</v>
      </c>
      <c r="AH5" s="11">
        <f t="shared" si="10"/>
        <v>0</v>
      </c>
      <c r="AI5" s="11">
        <v>-184000</v>
      </c>
      <c r="AJ5" s="11">
        <v>-184000</v>
      </c>
      <c r="AK5" s="11">
        <f t="shared" si="11"/>
        <v>0</v>
      </c>
      <c r="AL5" s="11">
        <f t="shared" si="13"/>
        <v>-912000</v>
      </c>
      <c r="AM5" s="11">
        <f t="shared" si="13"/>
        <v>-910632.44</v>
      </c>
      <c r="AN5" s="11">
        <f t="shared" si="12"/>
        <v>1367.5600000000559</v>
      </c>
    </row>
    <row r="6" spans="1:40" x14ac:dyDescent="0.3">
      <c r="A6" s="8" t="s">
        <v>22</v>
      </c>
      <c r="B6" s="9">
        <v>0</v>
      </c>
      <c r="C6" s="9">
        <v>0</v>
      </c>
      <c r="D6" s="9">
        <f t="shared" si="0"/>
        <v>0</v>
      </c>
      <c r="E6" s="9">
        <v>0</v>
      </c>
      <c r="F6" s="9">
        <v>0</v>
      </c>
      <c r="G6" s="9">
        <f t="shared" si="1"/>
        <v>0</v>
      </c>
      <c r="H6" s="9">
        <v>0</v>
      </c>
      <c r="I6" s="9">
        <v>0</v>
      </c>
      <c r="J6" s="9">
        <f t="shared" si="2"/>
        <v>0</v>
      </c>
      <c r="K6" s="9">
        <v>0</v>
      </c>
      <c r="L6" s="9">
        <v>0</v>
      </c>
      <c r="M6" s="9">
        <f t="shared" si="3"/>
        <v>0</v>
      </c>
      <c r="N6" s="9">
        <v>0</v>
      </c>
      <c r="O6" s="9">
        <v>0</v>
      </c>
      <c r="P6" s="9">
        <f t="shared" si="4"/>
        <v>0</v>
      </c>
      <c r="Q6" s="9">
        <v>0</v>
      </c>
      <c r="R6" s="9">
        <v>0</v>
      </c>
      <c r="S6" s="9">
        <f t="shared" si="5"/>
        <v>0</v>
      </c>
      <c r="T6" s="9">
        <v>0</v>
      </c>
      <c r="U6" s="9">
        <v>0</v>
      </c>
      <c r="V6" s="9">
        <f t="shared" si="6"/>
        <v>0</v>
      </c>
      <c r="W6" s="9">
        <v>0</v>
      </c>
      <c r="X6" s="9">
        <v>0</v>
      </c>
      <c r="Y6" s="9">
        <f t="shared" si="7"/>
        <v>0</v>
      </c>
      <c r="Z6" s="9">
        <v>0</v>
      </c>
      <c r="AA6" s="9">
        <v>0</v>
      </c>
      <c r="AB6" s="9">
        <f t="shared" si="8"/>
        <v>0</v>
      </c>
      <c r="AC6" s="9">
        <v>0</v>
      </c>
      <c r="AD6" s="9">
        <v>0</v>
      </c>
      <c r="AE6" s="9">
        <f t="shared" si="9"/>
        <v>0</v>
      </c>
      <c r="AF6" s="9">
        <v>-1247400</v>
      </c>
      <c r="AG6" s="9">
        <v>-1236400</v>
      </c>
      <c r="AH6" s="9">
        <f t="shared" si="10"/>
        <v>11000</v>
      </c>
      <c r="AI6" s="9">
        <v>-1247400</v>
      </c>
      <c r="AJ6" s="9">
        <v>-1236400</v>
      </c>
      <c r="AK6" s="9">
        <f t="shared" si="11"/>
        <v>11000</v>
      </c>
      <c r="AL6" s="9">
        <f t="shared" si="13"/>
        <v>-2494800</v>
      </c>
      <c r="AM6" s="9">
        <f t="shared" si="13"/>
        <v>-2472800</v>
      </c>
      <c r="AN6" s="9">
        <f t="shared" si="12"/>
        <v>22000</v>
      </c>
    </row>
    <row r="7" spans="1:40" x14ac:dyDescent="0.3">
      <c r="A7" s="10" t="s">
        <v>23</v>
      </c>
      <c r="B7" s="11">
        <v>-45000</v>
      </c>
      <c r="C7" s="11">
        <v>-57003.27</v>
      </c>
      <c r="D7" s="11">
        <f t="shared" si="0"/>
        <v>-12003.269999999997</v>
      </c>
      <c r="E7" s="11">
        <v>-45000</v>
      </c>
      <c r="F7" s="11">
        <v>-105163.92</v>
      </c>
      <c r="G7" s="11">
        <f t="shared" si="1"/>
        <v>-60163.92</v>
      </c>
      <c r="H7" s="11">
        <v>-45000</v>
      </c>
      <c r="I7" s="11">
        <v>-66124.75</v>
      </c>
      <c r="J7" s="11">
        <f t="shared" si="2"/>
        <v>-21124.75</v>
      </c>
      <c r="K7" s="11">
        <v>-45000</v>
      </c>
      <c r="L7" s="11">
        <v>-47084.36</v>
      </c>
      <c r="M7" s="11">
        <f t="shared" si="3"/>
        <v>-2084.3600000000006</v>
      </c>
      <c r="N7" s="11">
        <v>-45000</v>
      </c>
      <c r="O7" s="11">
        <v>-73011.679999999993</v>
      </c>
      <c r="P7" s="11">
        <f t="shared" si="4"/>
        <v>-28011.679999999993</v>
      </c>
      <c r="Q7" s="11">
        <v>-45000</v>
      </c>
      <c r="R7" s="11">
        <v>-146650.34</v>
      </c>
      <c r="S7" s="11">
        <f t="shared" si="5"/>
        <v>-101650.34</v>
      </c>
      <c r="T7" s="11">
        <v>-45000</v>
      </c>
      <c r="U7" s="11">
        <v>-58391.77</v>
      </c>
      <c r="V7" s="11">
        <f t="shared" si="6"/>
        <v>-13391.769999999997</v>
      </c>
      <c r="W7" s="11">
        <v>-45000</v>
      </c>
      <c r="X7" s="11">
        <v>-45000</v>
      </c>
      <c r="Y7" s="11">
        <f t="shared" si="7"/>
        <v>0</v>
      </c>
      <c r="Z7" s="11">
        <v>-45000</v>
      </c>
      <c r="AA7" s="11">
        <v>-45000</v>
      </c>
      <c r="AB7" s="11">
        <f t="shared" si="8"/>
        <v>0</v>
      </c>
      <c r="AC7" s="11">
        <v>-45000</v>
      </c>
      <c r="AD7" s="11">
        <v>-45000</v>
      </c>
      <c r="AE7" s="11">
        <f t="shared" si="9"/>
        <v>0</v>
      </c>
      <c r="AF7" s="11">
        <v>-45000</v>
      </c>
      <c r="AG7" s="11">
        <v>-45000</v>
      </c>
      <c r="AH7" s="11">
        <f t="shared" si="10"/>
        <v>0</v>
      </c>
      <c r="AI7" s="11">
        <v>-45000</v>
      </c>
      <c r="AJ7" s="11">
        <v>-45000</v>
      </c>
      <c r="AK7" s="11">
        <f t="shared" si="11"/>
        <v>0</v>
      </c>
      <c r="AL7" s="11">
        <f t="shared" si="13"/>
        <v>-540000</v>
      </c>
      <c r="AM7" s="11">
        <f t="shared" si="13"/>
        <v>-778430.09</v>
      </c>
      <c r="AN7" s="11">
        <f t="shared" si="12"/>
        <v>-238430.08999999997</v>
      </c>
    </row>
    <row r="8" spans="1:40" x14ac:dyDescent="0.3">
      <c r="A8" s="8" t="s">
        <v>24</v>
      </c>
      <c r="B8" s="9">
        <v>-70000</v>
      </c>
      <c r="C8" s="9">
        <v>-69187.539999999994</v>
      </c>
      <c r="D8" s="9">
        <f t="shared" si="0"/>
        <v>812.4600000000064</v>
      </c>
      <c r="E8" s="9">
        <v>-70000</v>
      </c>
      <c r="F8" s="9">
        <v>-69097.350000000006</v>
      </c>
      <c r="G8" s="9">
        <f t="shared" si="1"/>
        <v>902.64999999999418</v>
      </c>
      <c r="H8" s="9">
        <v>-70000</v>
      </c>
      <c r="I8" s="9">
        <v>-68372.73</v>
      </c>
      <c r="J8" s="9">
        <f t="shared" si="2"/>
        <v>1627.2700000000041</v>
      </c>
      <c r="K8" s="9">
        <v>-70000</v>
      </c>
      <c r="L8" s="9">
        <v>-71124.710000000006</v>
      </c>
      <c r="M8" s="9">
        <f t="shared" si="3"/>
        <v>-1124.7100000000064</v>
      </c>
      <c r="N8" s="9">
        <v>-70000</v>
      </c>
      <c r="O8" s="9">
        <v>-70432.19</v>
      </c>
      <c r="P8" s="9">
        <f t="shared" si="4"/>
        <v>-432.19000000000233</v>
      </c>
      <c r="Q8" s="9">
        <v>-70000</v>
      </c>
      <c r="R8" s="9">
        <v>-68959.73</v>
      </c>
      <c r="S8" s="9">
        <f t="shared" si="5"/>
        <v>1040.2700000000041</v>
      </c>
      <c r="T8" s="9">
        <v>-70000</v>
      </c>
      <c r="U8" s="9">
        <v>-69929.23</v>
      </c>
      <c r="V8" s="9">
        <f t="shared" si="6"/>
        <v>70.770000000004075</v>
      </c>
      <c r="W8" s="9">
        <v>-70000</v>
      </c>
      <c r="X8" s="9">
        <v>-70000</v>
      </c>
      <c r="Y8" s="9">
        <f t="shared" si="7"/>
        <v>0</v>
      </c>
      <c r="Z8" s="9">
        <v>-70000</v>
      </c>
      <c r="AA8" s="9">
        <v>-70000</v>
      </c>
      <c r="AB8" s="9">
        <f t="shared" si="8"/>
        <v>0</v>
      </c>
      <c r="AC8" s="9">
        <v>-70000</v>
      </c>
      <c r="AD8" s="9">
        <v>-70000</v>
      </c>
      <c r="AE8" s="9">
        <f t="shared" si="9"/>
        <v>0</v>
      </c>
      <c r="AF8" s="9">
        <v>-70000</v>
      </c>
      <c r="AG8" s="9">
        <v>-70000</v>
      </c>
      <c r="AH8" s="9">
        <f t="shared" si="10"/>
        <v>0</v>
      </c>
      <c r="AI8" s="9">
        <v>-70000</v>
      </c>
      <c r="AJ8" s="9">
        <v>-70000</v>
      </c>
      <c r="AK8" s="9">
        <f t="shared" si="11"/>
        <v>0</v>
      </c>
      <c r="AL8" s="9">
        <f t="shared" si="13"/>
        <v>-840000</v>
      </c>
      <c r="AM8" s="9">
        <f t="shared" si="13"/>
        <v>-837103.48</v>
      </c>
      <c r="AN8" s="9">
        <f t="shared" si="12"/>
        <v>2896.5200000000186</v>
      </c>
    </row>
    <row r="9" spans="1:40" x14ac:dyDescent="0.3">
      <c r="A9" s="10" t="s">
        <v>25</v>
      </c>
      <c r="B9" s="11">
        <v>-15000</v>
      </c>
      <c r="C9" s="11">
        <v>-15348.62</v>
      </c>
      <c r="D9" s="11">
        <f t="shared" si="0"/>
        <v>-348.6200000000008</v>
      </c>
      <c r="E9" s="11">
        <v>-15000</v>
      </c>
      <c r="F9" s="11">
        <v>-14733.48</v>
      </c>
      <c r="G9" s="11">
        <f t="shared" si="1"/>
        <v>266.52000000000044</v>
      </c>
      <c r="H9" s="11">
        <v>-15000</v>
      </c>
      <c r="I9" s="11">
        <v>-15449.55</v>
      </c>
      <c r="J9" s="11">
        <f t="shared" si="2"/>
        <v>-449.54999999999927</v>
      </c>
      <c r="K9" s="11">
        <v>-15000</v>
      </c>
      <c r="L9" s="11">
        <v>-14673.47</v>
      </c>
      <c r="M9" s="11">
        <f t="shared" si="3"/>
        <v>326.53000000000065</v>
      </c>
      <c r="N9" s="11">
        <v>-15000</v>
      </c>
      <c r="O9" s="11">
        <v>-14899.52</v>
      </c>
      <c r="P9" s="11">
        <f t="shared" si="4"/>
        <v>100.47999999999956</v>
      </c>
      <c r="Q9" s="11">
        <v>-15000</v>
      </c>
      <c r="R9" s="11">
        <v>-15080.46</v>
      </c>
      <c r="S9" s="11">
        <f t="shared" si="5"/>
        <v>-80.459999999999127</v>
      </c>
      <c r="T9" s="11">
        <v>-15000</v>
      </c>
      <c r="U9" s="11">
        <v>-14511.47</v>
      </c>
      <c r="V9" s="11">
        <f t="shared" si="6"/>
        <v>488.53000000000065</v>
      </c>
      <c r="W9" s="11">
        <v>-15000</v>
      </c>
      <c r="X9" s="11">
        <v>-15000</v>
      </c>
      <c r="Y9" s="11">
        <f t="shared" si="7"/>
        <v>0</v>
      </c>
      <c r="Z9" s="11">
        <v>-15000</v>
      </c>
      <c r="AA9" s="11">
        <v>-15000</v>
      </c>
      <c r="AB9" s="11">
        <f t="shared" si="8"/>
        <v>0</v>
      </c>
      <c r="AC9" s="11">
        <v>-15000</v>
      </c>
      <c r="AD9" s="11">
        <v>-15000</v>
      </c>
      <c r="AE9" s="11">
        <f t="shared" si="9"/>
        <v>0</v>
      </c>
      <c r="AF9" s="11">
        <v>-15000</v>
      </c>
      <c r="AG9" s="11">
        <v>-15000</v>
      </c>
      <c r="AH9" s="11">
        <f t="shared" si="10"/>
        <v>0</v>
      </c>
      <c r="AI9" s="11">
        <v>-15000</v>
      </c>
      <c r="AJ9" s="11">
        <v>-15000</v>
      </c>
      <c r="AK9" s="11">
        <f t="shared" si="11"/>
        <v>0</v>
      </c>
      <c r="AL9" s="11">
        <f t="shared" si="13"/>
        <v>-180000</v>
      </c>
      <c r="AM9" s="11">
        <f t="shared" si="13"/>
        <v>-179696.57</v>
      </c>
      <c r="AN9" s="11">
        <f t="shared" si="12"/>
        <v>303.42999999999302</v>
      </c>
    </row>
    <row r="10" spans="1:40" x14ac:dyDescent="0.3">
      <c r="A10" s="6" t="s">
        <v>26</v>
      </c>
      <c r="B10" s="7">
        <f>SUM(B11:B12)</f>
        <v>-629959.68000000005</v>
      </c>
      <c r="C10" s="7">
        <f>SUM(C11:C12)</f>
        <v>-625830.1</v>
      </c>
      <c r="D10" s="7">
        <f t="shared" si="0"/>
        <v>4129.5800000000745</v>
      </c>
      <c r="E10" s="7">
        <f>SUM(E11:E12)</f>
        <v>-629959.68000000005</v>
      </c>
      <c r="F10" s="7">
        <f>SUM(F11:F12)</f>
        <v>-620866.96</v>
      </c>
      <c r="G10" s="7">
        <f t="shared" si="1"/>
        <v>9092.7200000000885</v>
      </c>
      <c r="H10" s="7">
        <f>SUM(H11:H12)</f>
        <v>-629959.68000000005</v>
      </c>
      <c r="I10" s="7">
        <f>SUM(I11:I12)</f>
        <v>-638084.16</v>
      </c>
      <c r="J10" s="7">
        <f t="shared" si="2"/>
        <v>-8124.4799999999814</v>
      </c>
      <c r="K10" s="7">
        <f>SUM(K11:K12)</f>
        <v>-629959.68000000005</v>
      </c>
      <c r="L10" s="7">
        <f>SUM(L11:L12)</f>
        <v>-633857.26</v>
      </c>
      <c r="M10" s="7">
        <f t="shared" si="3"/>
        <v>-3897.5799999999581</v>
      </c>
      <c r="N10" s="7">
        <f>SUM(N11:N12)</f>
        <v>-629959.68000000005</v>
      </c>
      <c r="O10" s="7">
        <f>SUM(O11:O12)</f>
        <v>-636163.16999999993</v>
      </c>
      <c r="P10" s="7">
        <f t="shared" si="4"/>
        <v>-6203.4899999998743</v>
      </c>
      <c r="Q10" s="7">
        <f>SUM(Q11:Q12)</f>
        <v>-629959.68000000005</v>
      </c>
      <c r="R10" s="7">
        <f>SUM(R11:R12)</f>
        <v>-627366.07999999996</v>
      </c>
      <c r="S10" s="7">
        <f t="shared" si="5"/>
        <v>2593.6000000000931</v>
      </c>
      <c r="T10" s="7">
        <f>SUM(T11:T12)</f>
        <v>-629959.68000000005</v>
      </c>
      <c r="U10" s="7">
        <f>SUM(U11:U12)</f>
        <v>-621173.94999999995</v>
      </c>
      <c r="V10" s="7">
        <f t="shared" si="6"/>
        <v>8785.7300000000978</v>
      </c>
      <c r="W10" s="7">
        <f>SUM(W11:W12)</f>
        <v>-629959.68000000005</v>
      </c>
      <c r="X10" s="7">
        <f>SUM(X11:X12)</f>
        <v>-624404.47999999998</v>
      </c>
      <c r="Y10" s="7">
        <f t="shared" si="7"/>
        <v>5555.2000000000698</v>
      </c>
      <c r="Z10" s="7">
        <f>SUM(Z11:Z12)</f>
        <v>-629959.68000000005</v>
      </c>
      <c r="AA10" s="7">
        <f>SUM(AA11:AA12)</f>
        <v>-624404.47999999998</v>
      </c>
      <c r="AB10" s="7">
        <f t="shared" si="8"/>
        <v>5555.2000000000698</v>
      </c>
      <c r="AC10" s="7">
        <f>SUM(AC11:AC12)</f>
        <v>-629959.68000000005</v>
      </c>
      <c r="AD10" s="7">
        <f>SUM(AD11:AD12)</f>
        <v>-624404.47999999998</v>
      </c>
      <c r="AE10" s="7">
        <f t="shared" si="9"/>
        <v>5555.2000000000698</v>
      </c>
      <c r="AF10" s="7">
        <f>SUM(AF11:AF12)</f>
        <v>-629959.68000000005</v>
      </c>
      <c r="AG10" s="7">
        <f>SUM(AG11:AG12)</f>
        <v>-624404.47999999998</v>
      </c>
      <c r="AH10" s="7">
        <f t="shared" si="10"/>
        <v>5555.2000000000698</v>
      </c>
      <c r="AI10" s="7">
        <f>SUM(AI11:AI12)</f>
        <v>-629959.68000000005</v>
      </c>
      <c r="AJ10" s="7">
        <f>SUM(AJ11:AJ12)</f>
        <v>-624404.47999999998</v>
      </c>
      <c r="AK10" s="7">
        <f t="shared" si="11"/>
        <v>5555.2000000000698</v>
      </c>
      <c r="AL10" s="7">
        <f>SUM(AL11:AL12)</f>
        <v>-7559516.160000002</v>
      </c>
      <c r="AM10" s="7">
        <f>SUM(AM11:AM12)</f>
        <v>-7525364.0800000001</v>
      </c>
      <c r="AN10" s="7">
        <f t="shared" si="12"/>
        <v>34152.080000001937</v>
      </c>
    </row>
    <row r="11" spans="1:40" x14ac:dyDescent="0.3">
      <c r="A11" s="8" t="s">
        <v>27</v>
      </c>
      <c r="B11" s="9">
        <v>-179988.48000000001</v>
      </c>
      <c r="C11" s="9">
        <v>-186313.77</v>
      </c>
      <c r="D11" s="9">
        <f t="shared" si="0"/>
        <v>-6325.289999999979</v>
      </c>
      <c r="E11" s="9">
        <v>-179988.48000000001</v>
      </c>
      <c r="F11" s="9">
        <v>-174340.23</v>
      </c>
      <c r="G11" s="9">
        <f t="shared" si="1"/>
        <v>5648.25</v>
      </c>
      <c r="H11" s="9">
        <v>-179988.48000000001</v>
      </c>
      <c r="I11" s="9">
        <v>-184271.66</v>
      </c>
      <c r="J11" s="9">
        <f t="shared" si="2"/>
        <v>-4283.179999999993</v>
      </c>
      <c r="K11" s="9">
        <v>-179988.48000000001</v>
      </c>
      <c r="L11" s="9">
        <v>-180206.54</v>
      </c>
      <c r="M11" s="9">
        <f t="shared" si="3"/>
        <v>-218.05999999999767</v>
      </c>
      <c r="N11" s="9">
        <v>-179988.48000000001</v>
      </c>
      <c r="O11" s="9">
        <v>-173576.86</v>
      </c>
      <c r="P11" s="9">
        <f t="shared" si="4"/>
        <v>6411.6200000000244</v>
      </c>
      <c r="Q11" s="9">
        <v>-179988.48000000001</v>
      </c>
      <c r="R11" s="9">
        <v>-175633.97</v>
      </c>
      <c r="S11" s="9">
        <f t="shared" si="5"/>
        <v>4354.5100000000093</v>
      </c>
      <c r="T11" s="9">
        <v>-179988.48000000001</v>
      </c>
      <c r="U11" s="9">
        <v>-171448.74</v>
      </c>
      <c r="V11" s="9">
        <f t="shared" si="6"/>
        <v>8539.7400000000198</v>
      </c>
      <c r="W11" s="9">
        <v>-179988.48000000001</v>
      </c>
      <c r="X11" s="9">
        <v>-178401.28</v>
      </c>
      <c r="Y11" s="9">
        <f t="shared" si="7"/>
        <v>1587.2000000000116</v>
      </c>
      <c r="Z11" s="9">
        <v>-179988.48000000001</v>
      </c>
      <c r="AA11" s="9">
        <v>-178401.28</v>
      </c>
      <c r="AB11" s="9">
        <f t="shared" si="8"/>
        <v>1587.2000000000116</v>
      </c>
      <c r="AC11" s="9">
        <v>-179988.48000000001</v>
      </c>
      <c r="AD11" s="9">
        <v>-178401.28</v>
      </c>
      <c r="AE11" s="9">
        <f t="shared" si="9"/>
        <v>1587.2000000000116</v>
      </c>
      <c r="AF11" s="9">
        <v>-179988.48000000001</v>
      </c>
      <c r="AG11" s="9">
        <v>-178401.28</v>
      </c>
      <c r="AH11" s="9">
        <f t="shared" si="10"/>
        <v>1587.2000000000116</v>
      </c>
      <c r="AI11" s="9">
        <v>-179988.48000000001</v>
      </c>
      <c r="AJ11" s="9">
        <v>-178401.28</v>
      </c>
      <c r="AK11" s="9">
        <f t="shared" si="11"/>
        <v>1587.2000000000116</v>
      </c>
      <c r="AL11" s="9">
        <f>B11+E11+H11+K11+N11+Q11+T11+W11+Z11+AC11+AF11+AI11</f>
        <v>-2159861.7600000002</v>
      </c>
      <c r="AM11" s="9">
        <f>C11+F11+I11+L11+O11+R11+U11+X11+AA11+AD11+AG11+AJ11</f>
        <v>-2137798.17</v>
      </c>
      <c r="AN11" s="9">
        <f t="shared" si="12"/>
        <v>22063.590000000317</v>
      </c>
    </row>
    <row r="12" spans="1:40" x14ac:dyDescent="0.3">
      <c r="A12" s="10" t="s">
        <v>28</v>
      </c>
      <c r="B12" s="11">
        <v>-449971.20000000001</v>
      </c>
      <c r="C12" s="11">
        <v>-439516.33</v>
      </c>
      <c r="D12" s="11">
        <f t="shared" si="0"/>
        <v>10454.869999999995</v>
      </c>
      <c r="E12" s="11">
        <v>-449971.20000000001</v>
      </c>
      <c r="F12" s="11">
        <v>-446526.73</v>
      </c>
      <c r="G12" s="11">
        <f t="shared" si="1"/>
        <v>3444.4700000000303</v>
      </c>
      <c r="H12" s="11">
        <v>-449971.20000000001</v>
      </c>
      <c r="I12" s="11">
        <v>-453812.5</v>
      </c>
      <c r="J12" s="11">
        <f t="shared" si="2"/>
        <v>-3841.2999999999884</v>
      </c>
      <c r="K12" s="11">
        <v>-449971.20000000001</v>
      </c>
      <c r="L12" s="11">
        <v>-453650.72</v>
      </c>
      <c r="M12" s="11">
        <f t="shared" si="3"/>
        <v>-3679.5199999999604</v>
      </c>
      <c r="N12" s="11">
        <v>-449971.20000000001</v>
      </c>
      <c r="O12" s="11">
        <v>-462586.31</v>
      </c>
      <c r="P12" s="11">
        <f t="shared" si="4"/>
        <v>-12615.109999999986</v>
      </c>
      <c r="Q12" s="11">
        <v>-449971.20000000001</v>
      </c>
      <c r="R12" s="11">
        <v>-451732.11</v>
      </c>
      <c r="S12" s="11">
        <f t="shared" si="5"/>
        <v>-1760.9099999999744</v>
      </c>
      <c r="T12" s="11">
        <v>-449971.20000000001</v>
      </c>
      <c r="U12" s="11">
        <v>-449725.21</v>
      </c>
      <c r="V12" s="11">
        <f t="shared" si="6"/>
        <v>245.98999999999069</v>
      </c>
      <c r="W12" s="11">
        <v>-449971.20000000001</v>
      </c>
      <c r="X12" s="11">
        <v>-446003.20000000001</v>
      </c>
      <c r="Y12" s="11">
        <f t="shared" si="7"/>
        <v>3968</v>
      </c>
      <c r="Z12" s="11">
        <v>-449971.20000000001</v>
      </c>
      <c r="AA12" s="11">
        <v>-446003.20000000001</v>
      </c>
      <c r="AB12" s="11">
        <f t="shared" si="8"/>
        <v>3968</v>
      </c>
      <c r="AC12" s="11">
        <v>-449971.20000000001</v>
      </c>
      <c r="AD12" s="11">
        <v>-446003.20000000001</v>
      </c>
      <c r="AE12" s="11">
        <f t="shared" si="9"/>
        <v>3968</v>
      </c>
      <c r="AF12" s="11">
        <v>-449971.20000000001</v>
      </c>
      <c r="AG12" s="11">
        <v>-446003.20000000001</v>
      </c>
      <c r="AH12" s="11">
        <f t="shared" si="10"/>
        <v>3968</v>
      </c>
      <c r="AI12" s="11">
        <v>-449971.20000000001</v>
      </c>
      <c r="AJ12" s="11">
        <v>-446003.20000000001</v>
      </c>
      <c r="AK12" s="11">
        <f t="shared" si="11"/>
        <v>3968</v>
      </c>
      <c r="AL12" s="11">
        <f>B12+E12+H12+K12+N12+Q12+T12+W12+Z12+AC12+AF12+AI12</f>
        <v>-5399654.4000000013</v>
      </c>
      <c r="AM12" s="11">
        <f>C12+F12+I12+L12+O12+R12+U12+X12+AA12+AD12+AG12+AJ12</f>
        <v>-5387565.9100000001</v>
      </c>
      <c r="AN12" s="11">
        <f t="shared" si="12"/>
        <v>12088.490000001155</v>
      </c>
    </row>
    <row r="13" spans="1:40" x14ac:dyDescent="0.3">
      <c r="A13" s="6" t="s">
        <v>29</v>
      </c>
      <c r="B13" s="7">
        <f>SUM(B14:B20)</f>
        <v>-1627342</v>
      </c>
      <c r="C13" s="7">
        <f>SUM(C14:C20)</f>
        <v>-1631077.3699999999</v>
      </c>
      <c r="D13" s="7">
        <f t="shared" si="0"/>
        <v>-3735.3699999998789</v>
      </c>
      <c r="E13" s="7">
        <f>SUM(E14:E20)</f>
        <v>-1547962</v>
      </c>
      <c r="F13" s="7">
        <f>SUM(F14:F20)</f>
        <v>-1540123.1700000002</v>
      </c>
      <c r="G13" s="7">
        <f t="shared" si="1"/>
        <v>7838.8299999998417</v>
      </c>
      <c r="H13" s="7">
        <f>SUM(H14:H20)</f>
        <v>-1627342</v>
      </c>
      <c r="I13" s="7">
        <f>SUM(I14:I20)</f>
        <v>-1634333.7599999998</v>
      </c>
      <c r="J13" s="7">
        <f t="shared" si="2"/>
        <v>-6991.7599999997765</v>
      </c>
      <c r="K13" s="7">
        <f>SUM(K14:K20)</f>
        <v>-1627342</v>
      </c>
      <c r="L13" s="7">
        <f>SUM(L14:L20)</f>
        <v>-1634666.2100000002</v>
      </c>
      <c r="M13" s="7">
        <f t="shared" si="3"/>
        <v>-7324.2100000001956</v>
      </c>
      <c r="N13" s="7">
        <f>SUM(N14:N20)</f>
        <v>-1587652</v>
      </c>
      <c r="O13" s="7">
        <f>SUM(O14:O20)</f>
        <v>-1586078.8699999996</v>
      </c>
      <c r="P13" s="7">
        <f t="shared" si="4"/>
        <v>1573.1300000003539</v>
      </c>
      <c r="Q13" s="7">
        <f>SUM(Q14:Q20)</f>
        <v>-1627342</v>
      </c>
      <c r="R13" s="7">
        <f>SUM(R14:R20)</f>
        <v>-1612805.24</v>
      </c>
      <c r="S13" s="7">
        <f t="shared" si="5"/>
        <v>14536.760000000009</v>
      </c>
      <c r="T13" s="7">
        <f>SUM(T14:T20)</f>
        <v>-1667032</v>
      </c>
      <c r="U13" s="7">
        <f>SUM(U14:U20)</f>
        <v>-1657010.02</v>
      </c>
      <c r="V13" s="7">
        <f t="shared" si="6"/>
        <v>10021.979999999981</v>
      </c>
      <c r="W13" s="7">
        <f>SUM(W14:W20)</f>
        <v>-2662652</v>
      </c>
      <c r="X13" s="7">
        <f>SUM(X14:X20)</f>
        <v>-2648872</v>
      </c>
      <c r="Y13" s="7">
        <f t="shared" si="7"/>
        <v>13780</v>
      </c>
      <c r="Z13" s="7">
        <f>SUM(Z14:Z20)</f>
        <v>-1627342</v>
      </c>
      <c r="AA13" s="7">
        <f>SUM(AA14:AA20)</f>
        <v>-1613212</v>
      </c>
      <c r="AB13" s="7">
        <f t="shared" si="8"/>
        <v>14130</v>
      </c>
      <c r="AC13" s="7">
        <f>SUM(AC14:AC20)</f>
        <v>-1627342</v>
      </c>
      <c r="AD13" s="7">
        <f>SUM(AD14:AD20)</f>
        <v>-1613212</v>
      </c>
      <c r="AE13" s="7">
        <f t="shared" si="9"/>
        <v>14130</v>
      </c>
      <c r="AF13" s="7">
        <f>SUM(AF14:AF20)</f>
        <v>-1587652</v>
      </c>
      <c r="AG13" s="7">
        <f>SUM(AG14:AG20)</f>
        <v>-1573872</v>
      </c>
      <c r="AH13" s="7">
        <f t="shared" si="10"/>
        <v>13780</v>
      </c>
      <c r="AI13" s="7">
        <f>SUM(AI14:AI20)</f>
        <v>-1667032</v>
      </c>
      <c r="AJ13" s="7">
        <f>SUM(AJ14:AJ20)</f>
        <v>-1652552</v>
      </c>
      <c r="AK13" s="7">
        <f t="shared" si="11"/>
        <v>14480</v>
      </c>
      <c r="AL13" s="7">
        <f>SUM(AL14:AL20)</f>
        <v>-20484034</v>
      </c>
      <c r="AM13" s="7">
        <f>SUM(AM14:AM20)</f>
        <v>-20397814.640000001</v>
      </c>
      <c r="AN13" s="7">
        <f t="shared" si="12"/>
        <v>86219.359999999404</v>
      </c>
    </row>
    <row r="14" spans="1:40" x14ac:dyDescent="0.3">
      <c r="A14" s="8" t="s">
        <v>30</v>
      </c>
      <c r="B14" s="9">
        <v>-873180</v>
      </c>
      <c r="C14" s="9">
        <v>-874335</v>
      </c>
      <c r="D14" s="9">
        <f t="shared" si="0"/>
        <v>-1155</v>
      </c>
      <c r="E14" s="9">
        <v>-793800</v>
      </c>
      <c r="F14" s="9">
        <v>-791000</v>
      </c>
      <c r="G14" s="9">
        <f t="shared" si="1"/>
        <v>2800</v>
      </c>
      <c r="H14" s="9">
        <v>-873180</v>
      </c>
      <c r="I14" s="9">
        <v>-870310</v>
      </c>
      <c r="J14" s="9">
        <f t="shared" si="2"/>
        <v>2870</v>
      </c>
      <c r="K14" s="9">
        <v>-873180</v>
      </c>
      <c r="L14" s="9">
        <v>-873950</v>
      </c>
      <c r="M14" s="9">
        <f t="shared" si="3"/>
        <v>-770</v>
      </c>
      <c r="N14" s="9">
        <v>-833490</v>
      </c>
      <c r="O14" s="9">
        <v>-835485</v>
      </c>
      <c r="P14" s="9">
        <f t="shared" si="4"/>
        <v>-1995</v>
      </c>
      <c r="Q14" s="9">
        <v>-873180</v>
      </c>
      <c r="R14" s="9">
        <v>-863730</v>
      </c>
      <c r="S14" s="9">
        <f t="shared" si="5"/>
        <v>9450</v>
      </c>
      <c r="T14" s="9">
        <v>-912870</v>
      </c>
      <c r="U14" s="9">
        <v>-902580</v>
      </c>
      <c r="V14" s="9">
        <f t="shared" si="6"/>
        <v>10290</v>
      </c>
      <c r="W14" s="9">
        <v>-833490</v>
      </c>
      <c r="X14" s="9">
        <v>-826140</v>
      </c>
      <c r="Y14" s="9">
        <f t="shared" si="7"/>
        <v>7350</v>
      </c>
      <c r="Z14" s="9">
        <v>-873180</v>
      </c>
      <c r="AA14" s="9">
        <v>-865480</v>
      </c>
      <c r="AB14" s="9">
        <f t="shared" si="8"/>
        <v>7700</v>
      </c>
      <c r="AC14" s="9">
        <v>-873180</v>
      </c>
      <c r="AD14" s="9">
        <v>-865480</v>
      </c>
      <c r="AE14" s="9">
        <f t="shared" si="9"/>
        <v>7700</v>
      </c>
      <c r="AF14" s="9">
        <v>-833490</v>
      </c>
      <c r="AG14" s="9">
        <v>-826140</v>
      </c>
      <c r="AH14" s="9">
        <f t="shared" si="10"/>
        <v>7350</v>
      </c>
      <c r="AI14" s="9">
        <v>-912870</v>
      </c>
      <c r="AJ14" s="9">
        <v>-904820</v>
      </c>
      <c r="AK14" s="9">
        <f t="shared" si="11"/>
        <v>8050</v>
      </c>
      <c r="AL14" s="9">
        <f t="shared" ref="AL14:AM20" si="14">B14+E14+H14+K14+N14+Q14+T14+W14+Z14+AC14+AF14+AI14</f>
        <v>-10359090</v>
      </c>
      <c r="AM14" s="9">
        <f t="shared" si="14"/>
        <v>-10299450</v>
      </c>
      <c r="AN14" s="9">
        <f t="shared" si="12"/>
        <v>59640</v>
      </c>
    </row>
    <row r="15" spans="1:40" x14ac:dyDescent="0.3">
      <c r="A15" s="10" t="s">
        <v>31</v>
      </c>
      <c r="B15" s="11">
        <v>-283500</v>
      </c>
      <c r="C15" s="11">
        <v>-284250</v>
      </c>
      <c r="D15" s="11">
        <f t="shared" si="0"/>
        <v>-750</v>
      </c>
      <c r="E15" s="11">
        <v>-283500</v>
      </c>
      <c r="F15" s="11">
        <v>-280750</v>
      </c>
      <c r="G15" s="11">
        <f t="shared" si="1"/>
        <v>2750</v>
      </c>
      <c r="H15" s="11">
        <v>-283500</v>
      </c>
      <c r="I15" s="11">
        <v>-283500</v>
      </c>
      <c r="J15" s="11">
        <f t="shared" si="2"/>
        <v>0</v>
      </c>
      <c r="K15" s="11">
        <v>-283500</v>
      </c>
      <c r="L15" s="11">
        <v>-284000</v>
      </c>
      <c r="M15" s="11">
        <f t="shared" si="3"/>
        <v>-500</v>
      </c>
      <c r="N15" s="11">
        <v>-283500</v>
      </c>
      <c r="O15" s="11">
        <v>-284750</v>
      </c>
      <c r="P15" s="11">
        <f t="shared" si="4"/>
        <v>-1250</v>
      </c>
      <c r="Q15" s="11">
        <v>-283500</v>
      </c>
      <c r="R15" s="11">
        <v>-278500</v>
      </c>
      <c r="S15" s="11">
        <f t="shared" si="5"/>
        <v>5000</v>
      </c>
      <c r="T15" s="11">
        <v>-283500</v>
      </c>
      <c r="U15" s="11">
        <v>-281000</v>
      </c>
      <c r="V15" s="11">
        <f t="shared" si="6"/>
        <v>2500</v>
      </c>
      <c r="W15" s="11">
        <v>-283500</v>
      </c>
      <c r="X15" s="11">
        <v>-281000</v>
      </c>
      <c r="Y15" s="11">
        <f t="shared" si="7"/>
        <v>2500</v>
      </c>
      <c r="Z15" s="11">
        <v>-283500</v>
      </c>
      <c r="AA15" s="11">
        <v>-281000</v>
      </c>
      <c r="AB15" s="11">
        <f t="shared" si="8"/>
        <v>2500</v>
      </c>
      <c r="AC15" s="11">
        <v>-283500</v>
      </c>
      <c r="AD15" s="11">
        <v>-281000</v>
      </c>
      <c r="AE15" s="11">
        <f t="shared" si="9"/>
        <v>2500</v>
      </c>
      <c r="AF15" s="11">
        <v>-283500</v>
      </c>
      <c r="AG15" s="11">
        <v>-281000</v>
      </c>
      <c r="AH15" s="11">
        <f t="shared" si="10"/>
        <v>2500</v>
      </c>
      <c r="AI15" s="11">
        <v>-283500</v>
      </c>
      <c r="AJ15" s="11">
        <v>-281000</v>
      </c>
      <c r="AK15" s="11">
        <f t="shared" si="11"/>
        <v>2500</v>
      </c>
      <c r="AL15" s="11">
        <f t="shared" si="14"/>
        <v>-3402000</v>
      </c>
      <c r="AM15" s="11">
        <f t="shared" si="14"/>
        <v>-3381750</v>
      </c>
      <c r="AN15" s="11">
        <f t="shared" si="12"/>
        <v>20250</v>
      </c>
    </row>
    <row r="16" spans="1:40" x14ac:dyDescent="0.3">
      <c r="A16" s="8" t="s">
        <v>32</v>
      </c>
      <c r="B16" s="9">
        <v>-34020</v>
      </c>
      <c r="C16" s="9">
        <v>-34526.92</v>
      </c>
      <c r="D16" s="9">
        <f t="shared" si="0"/>
        <v>-506.91999999999825</v>
      </c>
      <c r="E16" s="9">
        <v>-34020</v>
      </c>
      <c r="F16" s="9">
        <v>-33503.79</v>
      </c>
      <c r="G16" s="9">
        <f t="shared" si="1"/>
        <v>516.20999999999913</v>
      </c>
      <c r="H16" s="9">
        <v>-34020</v>
      </c>
      <c r="I16" s="9">
        <v>-33598.43</v>
      </c>
      <c r="J16" s="9">
        <f t="shared" si="2"/>
        <v>421.56999999999971</v>
      </c>
      <c r="K16" s="9">
        <v>-34020</v>
      </c>
      <c r="L16" s="9">
        <v>-33231.83</v>
      </c>
      <c r="M16" s="9">
        <f t="shared" si="3"/>
        <v>788.16999999999825</v>
      </c>
      <c r="N16" s="9">
        <v>-34020</v>
      </c>
      <c r="O16" s="9">
        <v>-34222.99</v>
      </c>
      <c r="P16" s="9">
        <f t="shared" si="4"/>
        <v>-202.98999999999796</v>
      </c>
      <c r="Q16" s="9">
        <v>-34020</v>
      </c>
      <c r="R16" s="9">
        <v>-34645.75</v>
      </c>
      <c r="S16" s="9">
        <f t="shared" si="5"/>
        <v>-625.75</v>
      </c>
      <c r="T16" s="9">
        <v>-34020</v>
      </c>
      <c r="U16" s="9">
        <v>-33697.03</v>
      </c>
      <c r="V16" s="9">
        <f t="shared" si="6"/>
        <v>322.97000000000116</v>
      </c>
      <c r="W16" s="9">
        <v>-34020</v>
      </c>
      <c r="X16" s="9">
        <v>-33720</v>
      </c>
      <c r="Y16" s="9">
        <f t="shared" si="7"/>
        <v>300</v>
      </c>
      <c r="Z16" s="9">
        <v>-34020</v>
      </c>
      <c r="AA16" s="9">
        <v>-33720</v>
      </c>
      <c r="AB16" s="9">
        <f t="shared" si="8"/>
        <v>300</v>
      </c>
      <c r="AC16" s="9">
        <v>-34020</v>
      </c>
      <c r="AD16" s="9">
        <v>-33720</v>
      </c>
      <c r="AE16" s="9">
        <f t="shared" si="9"/>
        <v>300</v>
      </c>
      <c r="AF16" s="9">
        <v>-34020</v>
      </c>
      <c r="AG16" s="9">
        <v>-33720</v>
      </c>
      <c r="AH16" s="9">
        <f t="shared" si="10"/>
        <v>300</v>
      </c>
      <c r="AI16" s="9">
        <v>-34020</v>
      </c>
      <c r="AJ16" s="9">
        <v>-33720</v>
      </c>
      <c r="AK16" s="9">
        <f t="shared" si="11"/>
        <v>300</v>
      </c>
      <c r="AL16" s="9">
        <f t="shared" si="14"/>
        <v>-408240</v>
      </c>
      <c r="AM16" s="9">
        <f t="shared" si="14"/>
        <v>-406026.74</v>
      </c>
      <c r="AN16" s="9">
        <f t="shared" si="12"/>
        <v>2213.2600000000093</v>
      </c>
    </row>
    <row r="17" spans="1:40" x14ac:dyDescent="0.3">
      <c r="A17" s="10" t="s">
        <v>33</v>
      </c>
      <c r="B17" s="11">
        <v>-280098</v>
      </c>
      <c r="C17" s="11">
        <v>-276307.44</v>
      </c>
      <c r="D17" s="11">
        <f t="shared" si="0"/>
        <v>3790.5599999999977</v>
      </c>
      <c r="E17" s="11">
        <v>-280098</v>
      </c>
      <c r="F17" s="11">
        <v>-281002.06</v>
      </c>
      <c r="G17" s="11">
        <f t="shared" si="1"/>
        <v>-904.05999999999767</v>
      </c>
      <c r="H17" s="11">
        <v>-280098</v>
      </c>
      <c r="I17" s="11">
        <v>-290110.27</v>
      </c>
      <c r="J17" s="11">
        <f t="shared" si="2"/>
        <v>-10012.270000000019</v>
      </c>
      <c r="K17" s="11">
        <v>-280098</v>
      </c>
      <c r="L17" s="11">
        <v>-285782.74</v>
      </c>
      <c r="M17" s="11">
        <f t="shared" si="3"/>
        <v>-5684.7399999999907</v>
      </c>
      <c r="N17" s="11">
        <v>-280098</v>
      </c>
      <c r="O17" s="11">
        <v>-277429.09999999998</v>
      </c>
      <c r="P17" s="11">
        <f t="shared" si="4"/>
        <v>2668.9000000000233</v>
      </c>
      <c r="Q17" s="11">
        <v>-280098</v>
      </c>
      <c r="R17" s="11">
        <v>-283707.61</v>
      </c>
      <c r="S17" s="11">
        <f t="shared" si="5"/>
        <v>-3609.609999999986</v>
      </c>
      <c r="T17" s="11">
        <v>-280098</v>
      </c>
      <c r="U17" s="11">
        <v>-279879.71999999997</v>
      </c>
      <c r="V17" s="11">
        <f t="shared" si="6"/>
        <v>218.28000000002794</v>
      </c>
      <c r="W17" s="11">
        <v>-280098</v>
      </c>
      <c r="X17" s="11">
        <v>-277628</v>
      </c>
      <c r="Y17" s="11">
        <f t="shared" si="7"/>
        <v>2470</v>
      </c>
      <c r="Z17" s="11">
        <v>-280098</v>
      </c>
      <c r="AA17" s="11">
        <v>-277628</v>
      </c>
      <c r="AB17" s="11">
        <f t="shared" si="8"/>
        <v>2470</v>
      </c>
      <c r="AC17" s="11">
        <v>-280098</v>
      </c>
      <c r="AD17" s="11">
        <v>-277628</v>
      </c>
      <c r="AE17" s="11">
        <f t="shared" si="9"/>
        <v>2470</v>
      </c>
      <c r="AF17" s="11">
        <v>-280098</v>
      </c>
      <c r="AG17" s="11">
        <v>-277628</v>
      </c>
      <c r="AH17" s="11">
        <f t="shared" si="10"/>
        <v>2470</v>
      </c>
      <c r="AI17" s="11">
        <v>-280098</v>
      </c>
      <c r="AJ17" s="11">
        <v>-277628</v>
      </c>
      <c r="AK17" s="11">
        <f t="shared" si="11"/>
        <v>2470</v>
      </c>
      <c r="AL17" s="11">
        <f t="shared" si="14"/>
        <v>-3361176</v>
      </c>
      <c r="AM17" s="11">
        <f t="shared" si="14"/>
        <v>-3362358.9399999995</v>
      </c>
      <c r="AN17" s="11">
        <f t="shared" si="12"/>
        <v>-1182.9399999994785</v>
      </c>
    </row>
    <row r="18" spans="1:40" x14ac:dyDescent="0.3">
      <c r="A18" s="8" t="s">
        <v>34</v>
      </c>
      <c r="B18" s="9">
        <v>-17010</v>
      </c>
      <c r="C18" s="9">
        <v>-17692.12</v>
      </c>
      <c r="D18" s="9">
        <f t="shared" si="0"/>
        <v>-682.11999999999898</v>
      </c>
      <c r="E18" s="9">
        <v>-17010</v>
      </c>
      <c r="F18" s="9">
        <v>-16188.5</v>
      </c>
      <c r="G18" s="9">
        <f t="shared" si="1"/>
        <v>821.5</v>
      </c>
      <c r="H18" s="9">
        <v>-17010</v>
      </c>
      <c r="I18" s="9">
        <v>-17096.240000000002</v>
      </c>
      <c r="J18" s="9">
        <f t="shared" si="2"/>
        <v>-86.240000000001601</v>
      </c>
      <c r="K18" s="9">
        <v>-17010</v>
      </c>
      <c r="L18" s="9">
        <v>-17106.09</v>
      </c>
      <c r="M18" s="9">
        <f t="shared" si="3"/>
        <v>-96.090000000000146</v>
      </c>
      <c r="N18" s="9">
        <v>-17010</v>
      </c>
      <c r="O18" s="9">
        <v>-17084.939999999999</v>
      </c>
      <c r="P18" s="9">
        <f t="shared" si="4"/>
        <v>-74.93999999999869</v>
      </c>
      <c r="Q18" s="9">
        <v>-17010</v>
      </c>
      <c r="R18" s="9">
        <v>-16871.669999999998</v>
      </c>
      <c r="S18" s="9">
        <f t="shared" si="5"/>
        <v>138.33000000000175</v>
      </c>
      <c r="T18" s="9">
        <v>-17010</v>
      </c>
      <c r="U18" s="9">
        <v>-16946.36</v>
      </c>
      <c r="V18" s="9">
        <f t="shared" si="6"/>
        <v>63.639999999999418</v>
      </c>
      <c r="W18" s="9">
        <v>-17010</v>
      </c>
      <c r="X18" s="9">
        <v>-16860</v>
      </c>
      <c r="Y18" s="9">
        <f t="shared" si="7"/>
        <v>150</v>
      </c>
      <c r="Z18" s="9">
        <v>-17010</v>
      </c>
      <c r="AA18" s="9">
        <v>-16860</v>
      </c>
      <c r="AB18" s="9">
        <f t="shared" si="8"/>
        <v>150</v>
      </c>
      <c r="AC18" s="9">
        <v>-17010</v>
      </c>
      <c r="AD18" s="9">
        <v>-16860</v>
      </c>
      <c r="AE18" s="9">
        <f t="shared" si="9"/>
        <v>150</v>
      </c>
      <c r="AF18" s="9">
        <v>-17010</v>
      </c>
      <c r="AG18" s="9">
        <v>-16860</v>
      </c>
      <c r="AH18" s="9">
        <f t="shared" si="10"/>
        <v>150</v>
      </c>
      <c r="AI18" s="9">
        <v>-17010</v>
      </c>
      <c r="AJ18" s="9">
        <v>-16860</v>
      </c>
      <c r="AK18" s="9">
        <f t="shared" si="11"/>
        <v>150</v>
      </c>
      <c r="AL18" s="9">
        <f t="shared" si="14"/>
        <v>-204120</v>
      </c>
      <c r="AM18" s="9">
        <f t="shared" si="14"/>
        <v>-203285.91999999998</v>
      </c>
      <c r="AN18" s="9">
        <f t="shared" si="12"/>
        <v>834.0800000000163</v>
      </c>
    </row>
    <row r="19" spans="1:40" x14ac:dyDescent="0.3">
      <c r="A19" s="10" t="s">
        <v>35</v>
      </c>
      <c r="B19" s="11">
        <v>-114534</v>
      </c>
      <c r="C19" s="11">
        <v>-118694.15</v>
      </c>
      <c r="D19" s="11">
        <f t="shared" si="0"/>
        <v>-4160.1499999999942</v>
      </c>
      <c r="E19" s="11">
        <v>-114534</v>
      </c>
      <c r="F19" s="11">
        <v>-112948.46</v>
      </c>
      <c r="G19" s="11">
        <f t="shared" si="1"/>
        <v>1585.5399999999936</v>
      </c>
      <c r="H19" s="11">
        <v>-114534</v>
      </c>
      <c r="I19" s="11">
        <v>-113917.92</v>
      </c>
      <c r="J19" s="11">
        <f t="shared" si="2"/>
        <v>616.08000000000175</v>
      </c>
      <c r="K19" s="11">
        <v>-114534</v>
      </c>
      <c r="L19" s="11">
        <v>-115851.26</v>
      </c>
      <c r="M19" s="11">
        <f t="shared" si="3"/>
        <v>-1317.2599999999948</v>
      </c>
      <c r="N19" s="11">
        <v>-114534</v>
      </c>
      <c r="O19" s="11">
        <v>-111297.43</v>
      </c>
      <c r="P19" s="11">
        <f t="shared" si="4"/>
        <v>3236.570000000007</v>
      </c>
      <c r="Q19" s="11">
        <v>-114534</v>
      </c>
      <c r="R19" s="11">
        <v>-109456.09</v>
      </c>
      <c r="S19" s="11">
        <f t="shared" si="5"/>
        <v>5077.9100000000035</v>
      </c>
      <c r="T19" s="11">
        <v>-114534</v>
      </c>
      <c r="U19" s="11">
        <v>-117070.12</v>
      </c>
      <c r="V19" s="11">
        <f t="shared" si="6"/>
        <v>-2536.1199999999953</v>
      </c>
      <c r="W19" s="11">
        <v>-114534</v>
      </c>
      <c r="X19" s="11">
        <v>-113524</v>
      </c>
      <c r="Y19" s="11">
        <f t="shared" si="7"/>
        <v>1010</v>
      </c>
      <c r="Z19" s="11">
        <v>-114534</v>
      </c>
      <c r="AA19" s="11">
        <v>-113524</v>
      </c>
      <c r="AB19" s="11">
        <f t="shared" si="8"/>
        <v>1010</v>
      </c>
      <c r="AC19" s="11">
        <v>-114534</v>
      </c>
      <c r="AD19" s="11">
        <v>-113524</v>
      </c>
      <c r="AE19" s="11">
        <f t="shared" si="9"/>
        <v>1010</v>
      </c>
      <c r="AF19" s="11">
        <v>-114534</v>
      </c>
      <c r="AG19" s="11">
        <v>-113524</v>
      </c>
      <c r="AH19" s="11">
        <f t="shared" si="10"/>
        <v>1010</v>
      </c>
      <c r="AI19" s="11">
        <v>-114534</v>
      </c>
      <c r="AJ19" s="11">
        <v>-113524</v>
      </c>
      <c r="AK19" s="11">
        <f t="shared" si="11"/>
        <v>1010</v>
      </c>
      <c r="AL19" s="11">
        <f t="shared" si="14"/>
        <v>-1374408</v>
      </c>
      <c r="AM19" s="11">
        <f t="shared" si="14"/>
        <v>-1366855.43</v>
      </c>
      <c r="AN19" s="11">
        <f t="shared" si="12"/>
        <v>7552.5700000000652</v>
      </c>
    </row>
    <row r="20" spans="1:40" x14ac:dyDescent="0.3">
      <c r="A20" s="8" t="s">
        <v>36</v>
      </c>
      <c r="B20" s="9">
        <v>-25000</v>
      </c>
      <c r="C20" s="9">
        <v>-25271.74</v>
      </c>
      <c r="D20" s="9">
        <f t="shared" si="0"/>
        <v>-271.7400000000016</v>
      </c>
      <c r="E20" s="9">
        <v>-25000</v>
      </c>
      <c r="F20" s="9">
        <v>-24730.36</v>
      </c>
      <c r="G20" s="9">
        <f t="shared" si="1"/>
        <v>269.63999999999942</v>
      </c>
      <c r="H20" s="9">
        <v>-25000</v>
      </c>
      <c r="I20" s="9">
        <v>-25800.9</v>
      </c>
      <c r="J20" s="9">
        <f t="shared" si="2"/>
        <v>-800.90000000000146</v>
      </c>
      <c r="K20" s="9">
        <v>-25000</v>
      </c>
      <c r="L20" s="9">
        <v>-24744.29</v>
      </c>
      <c r="M20" s="9">
        <f t="shared" si="3"/>
        <v>255.70999999999913</v>
      </c>
      <c r="N20" s="9">
        <v>-25000</v>
      </c>
      <c r="O20" s="9">
        <v>-25809.41</v>
      </c>
      <c r="P20" s="9">
        <f t="shared" si="4"/>
        <v>-809.40999999999985</v>
      </c>
      <c r="Q20" s="9">
        <v>-25000</v>
      </c>
      <c r="R20" s="9">
        <v>-25894.12</v>
      </c>
      <c r="S20" s="9">
        <f t="shared" si="5"/>
        <v>-894.11999999999898</v>
      </c>
      <c r="T20" s="9">
        <v>-25000</v>
      </c>
      <c r="U20" s="9">
        <v>-25836.79</v>
      </c>
      <c r="V20" s="9">
        <f t="shared" si="6"/>
        <v>-836.79000000000087</v>
      </c>
      <c r="W20" s="9">
        <v>-1100000</v>
      </c>
      <c r="X20" s="9">
        <v>-1100000</v>
      </c>
      <c r="Y20" s="9">
        <f t="shared" si="7"/>
        <v>0</v>
      </c>
      <c r="Z20" s="9">
        <v>-25000</v>
      </c>
      <c r="AA20" s="9">
        <v>-25000</v>
      </c>
      <c r="AB20" s="9">
        <f t="shared" si="8"/>
        <v>0</v>
      </c>
      <c r="AC20" s="9">
        <v>-25000</v>
      </c>
      <c r="AD20" s="9">
        <v>-25000</v>
      </c>
      <c r="AE20" s="9">
        <f t="shared" si="9"/>
        <v>0</v>
      </c>
      <c r="AF20" s="9">
        <v>-25000</v>
      </c>
      <c r="AG20" s="9">
        <v>-25000</v>
      </c>
      <c r="AH20" s="9">
        <f t="shared" si="10"/>
        <v>0</v>
      </c>
      <c r="AI20" s="9">
        <v>-25000</v>
      </c>
      <c r="AJ20" s="9">
        <v>-25000</v>
      </c>
      <c r="AK20" s="9">
        <f t="shared" si="11"/>
        <v>0</v>
      </c>
      <c r="AL20" s="9">
        <f t="shared" si="14"/>
        <v>-1375000</v>
      </c>
      <c r="AM20" s="9">
        <f t="shared" si="14"/>
        <v>-1378087.61</v>
      </c>
      <c r="AN20" s="9">
        <f t="shared" si="12"/>
        <v>-3087.6100000001024</v>
      </c>
    </row>
    <row r="22" spans="1:40" x14ac:dyDescent="0.3">
      <c r="A22" s="12" t="s">
        <v>37</v>
      </c>
      <c r="B22" s="13">
        <f>B3+B10+B13</f>
        <v>-4821157.68</v>
      </c>
      <c r="C22" s="13">
        <f>C3+C10+C13</f>
        <v>-4782373.51</v>
      </c>
      <c r="D22" s="13">
        <f>C22-B22</f>
        <v>38784.169999999925</v>
      </c>
      <c r="E22" s="13">
        <f>E3+E10+E13</f>
        <v>-4597777.68</v>
      </c>
      <c r="F22" s="13">
        <f>F3+F10+F13</f>
        <v>-4663112.99</v>
      </c>
      <c r="G22" s="13">
        <f>F22-E22</f>
        <v>-65335.310000000522</v>
      </c>
      <c r="H22" s="13">
        <f>H3+H10+H13</f>
        <v>-4677157.68</v>
      </c>
      <c r="I22" s="13">
        <f>I3+I10+I13</f>
        <v>-4657699.5999999996</v>
      </c>
      <c r="J22" s="13">
        <f>I22-H22</f>
        <v>19458.080000000075</v>
      </c>
      <c r="K22" s="13">
        <f>K3+K10+K13</f>
        <v>-4677157.68</v>
      </c>
      <c r="L22" s="13">
        <f>L3+L10+L13</f>
        <v>-4663283.45</v>
      </c>
      <c r="M22" s="13">
        <f>L22-K22</f>
        <v>13874.229999999516</v>
      </c>
      <c r="N22" s="13">
        <f>N3+N10+N13</f>
        <v>-4637467.68</v>
      </c>
      <c r="O22" s="13">
        <f>O3+O10+O13</f>
        <v>-4665917.25</v>
      </c>
      <c r="P22" s="13">
        <f>O22-N22</f>
        <v>-28449.570000000298</v>
      </c>
      <c r="Q22" s="13">
        <f>Q3+Q10+Q13</f>
        <v>-4677157.68</v>
      </c>
      <c r="R22" s="13">
        <f>R3+R10+R13</f>
        <v>-4806218.05</v>
      </c>
      <c r="S22" s="13">
        <f>R22-Q22</f>
        <v>-129060.37000000011</v>
      </c>
      <c r="T22" s="13">
        <f>T3+T10+T13</f>
        <v>-4860847.68</v>
      </c>
      <c r="U22" s="13">
        <f>U3+U10+U13</f>
        <v>-4747070.1400000006</v>
      </c>
      <c r="V22" s="13">
        <f>U22-T22</f>
        <v>113777.53999999911</v>
      </c>
      <c r="W22" s="13">
        <f>W3+W10+W13</f>
        <v>-5712467.6799999997</v>
      </c>
      <c r="X22" s="13">
        <f>X3+X10+X13</f>
        <v>-5673292.4800000004</v>
      </c>
      <c r="Y22" s="13">
        <f>X22-W22</f>
        <v>39175.199999999255</v>
      </c>
      <c r="Z22" s="13">
        <f>Z3+Z10+Z13</f>
        <v>-4677157.68</v>
      </c>
      <c r="AA22" s="13">
        <f>AA3+AA10+AA13</f>
        <v>-4637632.4800000004</v>
      </c>
      <c r="AB22" s="13">
        <f>AA22-Z22</f>
        <v>39525.199999999255</v>
      </c>
      <c r="AC22" s="13">
        <f>AC3+AC10+AC13</f>
        <v>-4677157.68</v>
      </c>
      <c r="AD22" s="13">
        <f>AD3+AD10+AD13</f>
        <v>-4637632.4800000004</v>
      </c>
      <c r="AE22" s="13">
        <f>AD22-AC22</f>
        <v>39525.199999999255</v>
      </c>
      <c r="AF22" s="13">
        <f>AF3+AF10+AF13</f>
        <v>-5884867.6799999997</v>
      </c>
      <c r="AG22" s="13">
        <f>AG3+AG10+AG13</f>
        <v>-5834692.4800000004</v>
      </c>
      <c r="AH22" s="13">
        <f>AG22-AF22</f>
        <v>50175.199999999255</v>
      </c>
      <c r="AI22" s="13">
        <f>AI3+AI10+AI13</f>
        <v>-6108247.6799999997</v>
      </c>
      <c r="AJ22" s="13">
        <f>AJ3+AJ10+AJ13</f>
        <v>-6057372.4800000004</v>
      </c>
      <c r="AK22" s="13">
        <f>AJ22-AI22</f>
        <v>50875.199999999255</v>
      </c>
      <c r="AL22" s="13">
        <f>AL3+AL10+AL13</f>
        <v>-60008622.160000004</v>
      </c>
      <c r="AM22" s="13">
        <f>AM3+AM10+AM13</f>
        <v>-59826297.390000008</v>
      </c>
      <c r="AN22" s="13">
        <f>AM22-AL22</f>
        <v>182324.76999999583</v>
      </c>
    </row>
    <row r="24" spans="1:40" x14ac:dyDescent="0.3">
      <c r="A24" s="14" t="s">
        <v>38</v>
      </c>
    </row>
    <row r="25" spans="1:40" x14ac:dyDescent="0.3">
      <c r="A25" s="15" t="s">
        <v>39</v>
      </c>
    </row>
    <row r="26" spans="1:40" x14ac:dyDescent="0.3">
      <c r="A26" s="16" t="s">
        <v>40</v>
      </c>
      <c r="AM26" s="20">
        <f>AN22/AL22</f>
        <v>-3.0383095534816029E-3</v>
      </c>
    </row>
  </sheetData>
  <mergeCells count="14">
    <mergeCell ref="AC1:AE1"/>
    <mergeCell ref="AF1:AH1"/>
    <mergeCell ref="AI1:AK1"/>
    <mergeCell ref="AL1:AN1"/>
    <mergeCell ref="N1:P1"/>
    <mergeCell ref="Q1:S1"/>
    <mergeCell ref="T1:V1"/>
    <mergeCell ref="W1:Y1"/>
    <mergeCell ref="Z1:AB1"/>
    <mergeCell ref="A1:A2"/>
    <mergeCell ref="B1:D1"/>
    <mergeCell ref="E1:G1"/>
    <mergeCell ref="H1:J1"/>
    <mergeCell ref="K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82"/>
  <sheetViews>
    <sheetView tabSelected="1" zoomScaleNormal="100" workbookViewId="0">
      <selection activeCell="G108" sqref="G108"/>
    </sheetView>
  </sheetViews>
  <sheetFormatPr defaultColWidth="8.6640625" defaultRowHeight="14.4" x14ac:dyDescent="0.3"/>
  <cols>
    <col min="1" max="1" width="42" customWidth="1"/>
    <col min="2" max="2" width="12" customWidth="1"/>
    <col min="3" max="4" width="18" customWidth="1"/>
    <col min="5" max="6" width="15.88671875" bestFit="1" customWidth="1"/>
    <col min="7" max="8" width="18" customWidth="1"/>
    <col min="10" max="10" width="12.5546875" bestFit="1" customWidth="1"/>
  </cols>
  <sheetData>
    <row r="1" spans="1:10" x14ac:dyDescent="0.3">
      <c r="E1" s="18">
        <f>SUBTOTAL(9,E3:E182)</f>
        <v>-26998272</v>
      </c>
      <c r="F1" s="18">
        <f>SUBTOTAL(9,F3:F182)</f>
        <v>-26724456.090000004</v>
      </c>
      <c r="J1" s="21">
        <f>E1-F1</f>
        <v>-273815.90999999642</v>
      </c>
    </row>
    <row r="2" spans="1:10" x14ac:dyDescent="0.3">
      <c r="A2" s="17" t="s">
        <v>41</v>
      </c>
      <c r="B2" s="17" t="s">
        <v>42</v>
      </c>
      <c r="C2" s="17" t="s">
        <v>43</v>
      </c>
      <c r="D2" s="17" t="s">
        <v>44</v>
      </c>
      <c r="E2" s="17" t="s">
        <v>14</v>
      </c>
      <c r="F2" s="17" t="s">
        <v>17</v>
      </c>
      <c r="G2" s="17" t="s">
        <v>45</v>
      </c>
      <c r="H2" s="17" t="s">
        <v>46</v>
      </c>
    </row>
    <row r="3" spans="1:10" x14ac:dyDescent="0.3">
      <c r="A3" t="s">
        <v>47</v>
      </c>
      <c r="B3" t="s">
        <v>15</v>
      </c>
      <c r="C3" t="s">
        <v>48</v>
      </c>
      <c r="D3" t="s">
        <v>49</v>
      </c>
      <c r="E3" s="18">
        <v>-2249856</v>
      </c>
      <c r="F3" s="18">
        <v>-2197867.09</v>
      </c>
      <c r="G3" s="18">
        <v>51988.9100000002</v>
      </c>
      <c r="H3" s="19">
        <v>2.3107661112533502</v>
      </c>
    </row>
    <row r="4" spans="1:10" hidden="1" x14ac:dyDescent="0.3">
      <c r="A4" t="s">
        <v>47</v>
      </c>
      <c r="B4" t="s">
        <v>15</v>
      </c>
      <c r="C4" t="s">
        <v>48</v>
      </c>
      <c r="D4" t="s">
        <v>50</v>
      </c>
      <c r="E4" s="18">
        <v>-184000</v>
      </c>
      <c r="F4" s="18">
        <v>-186059.51999999999</v>
      </c>
      <c r="G4" s="18">
        <v>-2059.51999999999</v>
      </c>
      <c r="H4" s="19">
        <v>-1.11930434782608</v>
      </c>
    </row>
    <row r="5" spans="1:10" hidden="1" x14ac:dyDescent="0.3">
      <c r="A5" t="s">
        <v>47</v>
      </c>
      <c r="B5" t="s">
        <v>15</v>
      </c>
      <c r="C5" t="s">
        <v>48</v>
      </c>
      <c r="D5" t="s">
        <v>51</v>
      </c>
      <c r="E5" s="18">
        <v>0</v>
      </c>
      <c r="F5" s="18">
        <v>0</v>
      </c>
      <c r="G5" s="18">
        <v>0</v>
      </c>
      <c r="H5" s="19">
        <v>0</v>
      </c>
    </row>
    <row r="6" spans="1:10" hidden="1" x14ac:dyDescent="0.3">
      <c r="A6" t="s">
        <v>47</v>
      </c>
      <c r="B6" t="s">
        <v>15</v>
      </c>
      <c r="C6" t="s">
        <v>48</v>
      </c>
      <c r="D6" t="s">
        <v>52</v>
      </c>
      <c r="E6" s="18">
        <v>-45000</v>
      </c>
      <c r="F6" s="18">
        <v>-57003.27</v>
      </c>
      <c r="G6" s="18">
        <v>-12003.27</v>
      </c>
      <c r="H6" s="19">
        <v>-26.673933333333299</v>
      </c>
    </row>
    <row r="7" spans="1:10" hidden="1" x14ac:dyDescent="0.3">
      <c r="A7" t="s">
        <v>47</v>
      </c>
      <c r="B7" t="s">
        <v>15</v>
      </c>
      <c r="C7" t="s">
        <v>48</v>
      </c>
      <c r="D7" t="s">
        <v>53</v>
      </c>
      <c r="E7" s="18">
        <v>-70000</v>
      </c>
      <c r="F7" s="18">
        <v>-69187.539999999994</v>
      </c>
      <c r="G7" s="18">
        <v>812.46000000000595</v>
      </c>
      <c r="H7" s="19">
        <v>1.1606571428571499</v>
      </c>
    </row>
    <row r="8" spans="1:10" hidden="1" x14ac:dyDescent="0.3">
      <c r="A8" t="s">
        <v>47</v>
      </c>
      <c r="B8" t="s">
        <v>15</v>
      </c>
      <c r="C8" t="s">
        <v>48</v>
      </c>
      <c r="D8" t="s">
        <v>54</v>
      </c>
      <c r="E8" s="18">
        <v>-15000</v>
      </c>
      <c r="F8" s="18">
        <v>-15348.62</v>
      </c>
      <c r="G8" s="18">
        <v>-348.62000000000103</v>
      </c>
      <c r="H8" s="19">
        <v>-2.3241333333333398</v>
      </c>
    </row>
    <row r="9" spans="1:10" hidden="1" x14ac:dyDescent="0.3">
      <c r="A9" t="s">
        <v>47</v>
      </c>
      <c r="B9" t="s">
        <v>15</v>
      </c>
      <c r="C9" t="s">
        <v>55</v>
      </c>
      <c r="D9" t="s">
        <v>56</v>
      </c>
      <c r="E9" s="18">
        <v>-179988.48000000001</v>
      </c>
      <c r="F9" s="18">
        <v>-186313.77</v>
      </c>
      <c r="G9" s="18">
        <v>-6325.28999999998</v>
      </c>
      <c r="H9" s="19">
        <v>-3.51427491359446</v>
      </c>
    </row>
    <row r="10" spans="1:10" hidden="1" x14ac:dyDescent="0.3">
      <c r="A10" t="s">
        <v>47</v>
      </c>
      <c r="B10" t="s">
        <v>15</v>
      </c>
      <c r="C10" t="s">
        <v>55</v>
      </c>
      <c r="D10" t="s">
        <v>57</v>
      </c>
      <c r="E10" s="18">
        <v>-449971.20000000001</v>
      </c>
      <c r="F10" s="18">
        <v>-439516.33</v>
      </c>
      <c r="G10" s="18">
        <v>10454.870000000001</v>
      </c>
      <c r="H10" s="19">
        <v>2.3234531454457499</v>
      </c>
    </row>
    <row r="11" spans="1:10" hidden="1" x14ac:dyDescent="0.3">
      <c r="A11" t="s">
        <v>47</v>
      </c>
      <c r="B11" t="s">
        <v>15</v>
      </c>
      <c r="C11" t="s">
        <v>58</v>
      </c>
      <c r="D11" t="s">
        <v>59</v>
      </c>
      <c r="E11" s="18">
        <v>-873180</v>
      </c>
      <c r="F11" s="18">
        <v>-874335</v>
      </c>
      <c r="G11" s="18">
        <v>-1155</v>
      </c>
      <c r="H11" s="19">
        <v>-0.13227513227513199</v>
      </c>
    </row>
    <row r="12" spans="1:10" hidden="1" x14ac:dyDescent="0.3">
      <c r="A12" t="s">
        <v>47</v>
      </c>
      <c r="B12" t="s">
        <v>15</v>
      </c>
      <c r="C12" t="s">
        <v>58</v>
      </c>
      <c r="D12" t="s">
        <v>60</v>
      </c>
      <c r="E12" s="18">
        <v>-283500</v>
      </c>
      <c r="F12" s="18">
        <v>-284250</v>
      </c>
      <c r="G12" s="18">
        <v>-750</v>
      </c>
      <c r="H12" s="19">
        <v>-0.26455026455026498</v>
      </c>
    </row>
    <row r="13" spans="1:10" hidden="1" x14ac:dyDescent="0.3">
      <c r="A13" t="s">
        <v>47</v>
      </c>
      <c r="B13" t="s">
        <v>15</v>
      </c>
      <c r="C13" t="s">
        <v>58</v>
      </c>
      <c r="D13" t="s">
        <v>61</v>
      </c>
      <c r="E13" s="18">
        <v>-34020</v>
      </c>
      <c r="F13" s="18">
        <v>-34526.92</v>
      </c>
      <c r="G13" s="18">
        <v>-506.91999999999803</v>
      </c>
      <c r="H13" s="19">
        <v>-1.4900646678424401</v>
      </c>
    </row>
    <row r="14" spans="1:10" hidden="1" x14ac:dyDescent="0.3">
      <c r="A14" t="s">
        <v>47</v>
      </c>
      <c r="B14" t="s">
        <v>15</v>
      </c>
      <c r="C14" t="s">
        <v>58</v>
      </c>
      <c r="D14" t="s">
        <v>62</v>
      </c>
      <c r="E14" s="18">
        <v>-280098</v>
      </c>
      <c r="F14" s="18">
        <v>-276307.44</v>
      </c>
      <c r="G14" s="18">
        <v>3790.56</v>
      </c>
      <c r="H14" s="19">
        <v>1.35329777435041</v>
      </c>
    </row>
    <row r="15" spans="1:10" hidden="1" x14ac:dyDescent="0.3">
      <c r="A15" t="s">
        <v>47</v>
      </c>
      <c r="B15" t="s">
        <v>15</v>
      </c>
      <c r="C15" t="s">
        <v>58</v>
      </c>
      <c r="D15" t="s">
        <v>63</v>
      </c>
      <c r="E15" s="18">
        <v>-17010</v>
      </c>
      <c r="F15" s="18">
        <v>-17692.12</v>
      </c>
      <c r="G15" s="18">
        <v>-682.11999999999898</v>
      </c>
      <c r="H15" s="19">
        <v>-4.0101116990005803</v>
      </c>
    </row>
    <row r="16" spans="1:10" hidden="1" x14ac:dyDescent="0.3">
      <c r="A16" t="s">
        <v>47</v>
      </c>
      <c r="B16" t="s">
        <v>15</v>
      </c>
      <c r="C16" t="s">
        <v>58</v>
      </c>
      <c r="D16" t="s">
        <v>64</v>
      </c>
      <c r="E16" s="18">
        <v>-114534</v>
      </c>
      <c r="F16" s="18">
        <v>-118694.15</v>
      </c>
      <c r="G16" s="18">
        <v>-4160.1499999999896</v>
      </c>
      <c r="H16" s="19">
        <v>-3.63224020814779</v>
      </c>
    </row>
    <row r="17" spans="1:8" hidden="1" x14ac:dyDescent="0.3">
      <c r="A17" t="s">
        <v>47</v>
      </c>
      <c r="B17" t="s">
        <v>15</v>
      </c>
      <c r="C17" t="s">
        <v>58</v>
      </c>
      <c r="D17" t="s">
        <v>65</v>
      </c>
      <c r="E17" s="18">
        <v>-25000</v>
      </c>
      <c r="F17" s="18">
        <v>-25271.74</v>
      </c>
      <c r="G17" s="18">
        <v>-271.740000000002</v>
      </c>
      <c r="H17" s="19">
        <v>-1.0869600000000099</v>
      </c>
    </row>
    <row r="18" spans="1:8" x14ac:dyDescent="0.3">
      <c r="A18" t="s">
        <v>66</v>
      </c>
      <c r="B18" t="s">
        <v>15</v>
      </c>
      <c r="C18" t="s">
        <v>48</v>
      </c>
      <c r="D18" t="s">
        <v>49</v>
      </c>
      <c r="E18" s="18">
        <v>-2249856</v>
      </c>
      <c r="F18" s="18">
        <v>-2273079.62</v>
      </c>
      <c r="G18" s="18">
        <v>-23223.620000000101</v>
      </c>
      <c r="H18" s="19">
        <v>-1.0322269514137801</v>
      </c>
    </row>
    <row r="19" spans="1:8" hidden="1" x14ac:dyDescent="0.3">
      <c r="A19" t="s">
        <v>66</v>
      </c>
      <c r="B19" t="s">
        <v>15</v>
      </c>
      <c r="C19" t="s">
        <v>48</v>
      </c>
      <c r="D19" t="s">
        <v>50</v>
      </c>
      <c r="E19" s="18">
        <v>-40000</v>
      </c>
      <c r="F19" s="18">
        <v>-40048.49</v>
      </c>
      <c r="G19" s="18">
        <v>-48.489999999997998</v>
      </c>
      <c r="H19" s="19">
        <v>-0.121224999999995</v>
      </c>
    </row>
    <row r="20" spans="1:8" hidden="1" x14ac:dyDescent="0.3">
      <c r="A20" t="s">
        <v>66</v>
      </c>
      <c r="B20" t="s">
        <v>15</v>
      </c>
      <c r="C20" t="s">
        <v>48</v>
      </c>
      <c r="D20" t="s">
        <v>51</v>
      </c>
      <c r="E20" s="18">
        <v>0</v>
      </c>
      <c r="F20" s="18">
        <v>0</v>
      </c>
      <c r="G20" s="18">
        <v>0</v>
      </c>
      <c r="H20" s="19">
        <v>0</v>
      </c>
    </row>
    <row r="21" spans="1:8" hidden="1" x14ac:dyDescent="0.3">
      <c r="A21" t="s">
        <v>66</v>
      </c>
      <c r="B21" t="s">
        <v>15</v>
      </c>
      <c r="C21" t="s">
        <v>48</v>
      </c>
      <c r="D21" t="s">
        <v>52</v>
      </c>
      <c r="E21" s="18">
        <v>-45000</v>
      </c>
      <c r="F21" s="18">
        <v>-105163.92</v>
      </c>
      <c r="G21" s="18">
        <v>-60163.92</v>
      </c>
      <c r="H21" s="19">
        <v>-133.69759999999999</v>
      </c>
    </row>
    <row r="22" spans="1:8" hidden="1" x14ac:dyDescent="0.3">
      <c r="A22" t="s">
        <v>66</v>
      </c>
      <c r="B22" t="s">
        <v>15</v>
      </c>
      <c r="C22" t="s">
        <v>48</v>
      </c>
      <c r="D22" t="s">
        <v>53</v>
      </c>
      <c r="E22" s="18">
        <v>-70000</v>
      </c>
      <c r="F22" s="18">
        <v>-69097.350000000006</v>
      </c>
      <c r="G22" s="18">
        <v>902.64999999999395</v>
      </c>
      <c r="H22" s="19">
        <v>1.2894999999999901</v>
      </c>
    </row>
    <row r="23" spans="1:8" hidden="1" x14ac:dyDescent="0.3">
      <c r="A23" t="s">
        <v>66</v>
      </c>
      <c r="B23" t="s">
        <v>15</v>
      </c>
      <c r="C23" t="s">
        <v>48</v>
      </c>
      <c r="D23" t="s">
        <v>54</v>
      </c>
      <c r="E23" s="18">
        <v>-15000</v>
      </c>
      <c r="F23" s="18">
        <v>-14733.48</v>
      </c>
      <c r="G23" s="18">
        <v>266.52</v>
      </c>
      <c r="H23" s="19">
        <v>1.7767999999999999</v>
      </c>
    </row>
    <row r="24" spans="1:8" hidden="1" x14ac:dyDescent="0.3">
      <c r="A24" t="s">
        <v>66</v>
      </c>
      <c r="B24" t="s">
        <v>15</v>
      </c>
      <c r="C24" t="s">
        <v>55</v>
      </c>
      <c r="D24" t="s">
        <v>56</v>
      </c>
      <c r="E24" s="18">
        <v>-179988.48000000001</v>
      </c>
      <c r="F24" s="18">
        <v>-174340.23</v>
      </c>
      <c r="G24" s="18">
        <v>5648.25</v>
      </c>
      <c r="H24" s="19">
        <v>3.1381175061870601</v>
      </c>
    </row>
    <row r="25" spans="1:8" hidden="1" x14ac:dyDescent="0.3">
      <c r="A25" t="s">
        <v>66</v>
      </c>
      <c r="B25" t="s">
        <v>15</v>
      </c>
      <c r="C25" t="s">
        <v>55</v>
      </c>
      <c r="D25" t="s">
        <v>57</v>
      </c>
      <c r="E25" s="18">
        <v>-449971.20000000001</v>
      </c>
      <c r="F25" s="18">
        <v>-446526.73</v>
      </c>
      <c r="G25" s="18">
        <v>3444.4700000000298</v>
      </c>
      <c r="H25" s="19">
        <v>0.76548676893099599</v>
      </c>
    </row>
    <row r="26" spans="1:8" hidden="1" x14ac:dyDescent="0.3">
      <c r="A26" t="s">
        <v>66</v>
      </c>
      <c r="B26" t="s">
        <v>15</v>
      </c>
      <c r="C26" t="s">
        <v>58</v>
      </c>
      <c r="D26" t="s">
        <v>59</v>
      </c>
      <c r="E26" s="18">
        <v>-793800</v>
      </c>
      <c r="F26" s="18">
        <v>-791000</v>
      </c>
      <c r="G26" s="18">
        <v>2800</v>
      </c>
      <c r="H26" s="19">
        <v>0.35273368606701899</v>
      </c>
    </row>
    <row r="27" spans="1:8" hidden="1" x14ac:dyDescent="0.3">
      <c r="A27" t="s">
        <v>66</v>
      </c>
      <c r="B27" t="s">
        <v>15</v>
      </c>
      <c r="C27" t="s">
        <v>58</v>
      </c>
      <c r="D27" t="s">
        <v>60</v>
      </c>
      <c r="E27" s="18">
        <v>-283500</v>
      </c>
      <c r="F27" s="18">
        <v>-280750</v>
      </c>
      <c r="G27" s="18">
        <v>2750</v>
      </c>
      <c r="H27" s="19">
        <v>0.97001763668430296</v>
      </c>
    </row>
    <row r="28" spans="1:8" hidden="1" x14ac:dyDescent="0.3">
      <c r="A28" t="s">
        <v>66</v>
      </c>
      <c r="B28" t="s">
        <v>15</v>
      </c>
      <c r="C28" t="s">
        <v>58</v>
      </c>
      <c r="D28" t="s">
        <v>61</v>
      </c>
      <c r="E28" s="18">
        <v>-34020</v>
      </c>
      <c r="F28" s="18">
        <v>-33503.79</v>
      </c>
      <c r="G28" s="18">
        <v>516.20999999999901</v>
      </c>
      <c r="H28" s="19">
        <v>1.5173721340388</v>
      </c>
    </row>
    <row r="29" spans="1:8" hidden="1" x14ac:dyDescent="0.3">
      <c r="A29" t="s">
        <v>66</v>
      </c>
      <c r="B29" t="s">
        <v>15</v>
      </c>
      <c r="C29" t="s">
        <v>58</v>
      </c>
      <c r="D29" t="s">
        <v>62</v>
      </c>
      <c r="E29" s="18">
        <v>-280098</v>
      </c>
      <c r="F29" s="18">
        <v>-281002.06</v>
      </c>
      <c r="G29" s="18">
        <v>-904.05999999999801</v>
      </c>
      <c r="H29" s="19">
        <v>-0.322765603467357</v>
      </c>
    </row>
    <row r="30" spans="1:8" hidden="1" x14ac:dyDescent="0.3">
      <c r="A30" t="s">
        <v>66</v>
      </c>
      <c r="B30" t="s">
        <v>15</v>
      </c>
      <c r="C30" t="s">
        <v>58</v>
      </c>
      <c r="D30" t="s">
        <v>63</v>
      </c>
      <c r="E30" s="18">
        <v>-17010</v>
      </c>
      <c r="F30" s="18">
        <v>-16188.5</v>
      </c>
      <c r="G30" s="18">
        <v>821.5</v>
      </c>
      <c r="H30" s="19">
        <v>4.8295120517342696</v>
      </c>
    </row>
    <row r="31" spans="1:8" hidden="1" x14ac:dyDescent="0.3">
      <c r="A31" t="s">
        <v>66</v>
      </c>
      <c r="B31" t="s">
        <v>15</v>
      </c>
      <c r="C31" t="s">
        <v>58</v>
      </c>
      <c r="D31" t="s">
        <v>64</v>
      </c>
      <c r="E31" s="18">
        <v>-114534</v>
      </c>
      <c r="F31" s="18">
        <v>-112948.46</v>
      </c>
      <c r="G31" s="18">
        <v>1585.53999999999</v>
      </c>
      <c r="H31" s="19">
        <v>1.38434002130371</v>
      </c>
    </row>
    <row r="32" spans="1:8" hidden="1" x14ac:dyDescent="0.3">
      <c r="A32" t="s">
        <v>66</v>
      </c>
      <c r="B32" t="s">
        <v>15</v>
      </c>
      <c r="C32" t="s">
        <v>58</v>
      </c>
      <c r="D32" t="s">
        <v>65</v>
      </c>
      <c r="E32" s="18">
        <v>-25000</v>
      </c>
      <c r="F32" s="18">
        <v>-24730.36</v>
      </c>
      <c r="G32" s="18">
        <v>269.63999999999902</v>
      </c>
      <c r="H32" s="19">
        <v>1.07856</v>
      </c>
    </row>
    <row r="33" spans="1:8" x14ac:dyDescent="0.3">
      <c r="A33" t="s">
        <v>67</v>
      </c>
      <c r="B33" t="s">
        <v>15</v>
      </c>
      <c r="C33" t="s">
        <v>48</v>
      </c>
      <c r="D33" t="s">
        <v>49</v>
      </c>
      <c r="E33" s="18">
        <v>-2249856</v>
      </c>
      <c r="F33" s="18">
        <v>-2195031.08</v>
      </c>
      <c r="G33" s="18">
        <v>54824.919999999896</v>
      </c>
      <c r="H33" s="19">
        <v>2.4368190675314301</v>
      </c>
    </row>
    <row r="34" spans="1:8" hidden="1" x14ac:dyDescent="0.3">
      <c r="A34" t="s">
        <v>67</v>
      </c>
      <c r="B34" t="s">
        <v>15</v>
      </c>
      <c r="C34" t="s">
        <v>48</v>
      </c>
      <c r="D34" t="s">
        <v>50</v>
      </c>
      <c r="E34" s="18">
        <v>-40000</v>
      </c>
      <c r="F34" s="18">
        <v>-40303.57</v>
      </c>
      <c r="G34" s="18">
        <v>-303.57</v>
      </c>
      <c r="H34" s="19">
        <v>-0.75892499999999896</v>
      </c>
    </row>
    <row r="35" spans="1:8" hidden="1" x14ac:dyDescent="0.3">
      <c r="A35" t="s">
        <v>67</v>
      </c>
      <c r="B35" t="s">
        <v>15</v>
      </c>
      <c r="C35" t="s">
        <v>48</v>
      </c>
      <c r="D35" t="s">
        <v>51</v>
      </c>
      <c r="E35" s="18">
        <v>0</v>
      </c>
      <c r="F35" s="18">
        <v>0</v>
      </c>
      <c r="G35" s="18">
        <v>0</v>
      </c>
      <c r="H35" s="19">
        <v>0</v>
      </c>
    </row>
    <row r="36" spans="1:8" hidden="1" x14ac:dyDescent="0.3">
      <c r="A36" t="s">
        <v>67</v>
      </c>
      <c r="B36" t="s">
        <v>15</v>
      </c>
      <c r="C36" t="s">
        <v>48</v>
      </c>
      <c r="D36" t="s">
        <v>52</v>
      </c>
      <c r="E36" s="18">
        <v>-45000</v>
      </c>
      <c r="F36" s="18">
        <v>-66124.75</v>
      </c>
      <c r="G36" s="18">
        <v>-21124.75</v>
      </c>
      <c r="H36" s="19">
        <v>-46.9438888888889</v>
      </c>
    </row>
    <row r="37" spans="1:8" hidden="1" x14ac:dyDescent="0.3">
      <c r="A37" t="s">
        <v>67</v>
      </c>
      <c r="B37" t="s">
        <v>15</v>
      </c>
      <c r="C37" t="s">
        <v>48</v>
      </c>
      <c r="D37" t="s">
        <v>53</v>
      </c>
      <c r="E37" s="18">
        <v>-70000</v>
      </c>
      <c r="F37" s="18">
        <v>-68372.73</v>
      </c>
      <c r="G37" s="18">
        <v>1627.27</v>
      </c>
      <c r="H37" s="19">
        <v>2.3246714285714298</v>
      </c>
    </row>
    <row r="38" spans="1:8" hidden="1" x14ac:dyDescent="0.3">
      <c r="A38" t="s">
        <v>67</v>
      </c>
      <c r="B38" t="s">
        <v>15</v>
      </c>
      <c r="C38" t="s">
        <v>48</v>
      </c>
      <c r="D38" t="s">
        <v>54</v>
      </c>
      <c r="E38" s="18">
        <v>-15000</v>
      </c>
      <c r="F38" s="18">
        <v>-15449.55</v>
      </c>
      <c r="G38" s="18">
        <v>-449.54999999999899</v>
      </c>
      <c r="H38" s="19">
        <v>-2.9969999999999999</v>
      </c>
    </row>
    <row r="39" spans="1:8" hidden="1" x14ac:dyDescent="0.3">
      <c r="A39" t="s">
        <v>67</v>
      </c>
      <c r="B39" t="s">
        <v>15</v>
      </c>
      <c r="C39" t="s">
        <v>55</v>
      </c>
      <c r="D39" t="s">
        <v>56</v>
      </c>
      <c r="E39" s="18">
        <v>-179988.48000000001</v>
      </c>
      <c r="F39" s="18">
        <v>-184271.66</v>
      </c>
      <c r="G39" s="18">
        <v>-4283.1799999999903</v>
      </c>
      <c r="H39" s="19">
        <v>-2.3796967450361199</v>
      </c>
    </row>
    <row r="40" spans="1:8" hidden="1" x14ac:dyDescent="0.3">
      <c r="A40" t="s">
        <v>67</v>
      </c>
      <c r="B40" t="s">
        <v>15</v>
      </c>
      <c r="C40" t="s">
        <v>55</v>
      </c>
      <c r="D40" t="s">
        <v>57</v>
      </c>
      <c r="E40" s="18">
        <v>-449971.20000000001</v>
      </c>
      <c r="F40" s="18">
        <v>-453812.5</v>
      </c>
      <c r="G40" s="18">
        <v>-3841.2999999999902</v>
      </c>
      <c r="H40" s="19">
        <v>-0.85367685754110201</v>
      </c>
    </row>
    <row r="41" spans="1:8" hidden="1" x14ac:dyDescent="0.3">
      <c r="A41" t="s">
        <v>67</v>
      </c>
      <c r="B41" t="s">
        <v>15</v>
      </c>
      <c r="C41" t="s">
        <v>58</v>
      </c>
      <c r="D41" t="s">
        <v>59</v>
      </c>
      <c r="E41" s="18">
        <v>-873180</v>
      </c>
      <c r="F41" s="18">
        <v>-870310</v>
      </c>
      <c r="G41" s="18">
        <v>2870</v>
      </c>
      <c r="H41" s="19">
        <v>0.328683662016995</v>
      </c>
    </row>
    <row r="42" spans="1:8" hidden="1" x14ac:dyDescent="0.3">
      <c r="A42" t="s">
        <v>67</v>
      </c>
      <c r="B42" t="s">
        <v>15</v>
      </c>
      <c r="C42" t="s">
        <v>58</v>
      </c>
      <c r="D42" t="s">
        <v>60</v>
      </c>
      <c r="E42" s="18">
        <v>-283500</v>
      </c>
      <c r="F42" s="18">
        <v>-283500</v>
      </c>
      <c r="G42" s="18">
        <v>0</v>
      </c>
      <c r="H42" s="19">
        <v>0</v>
      </c>
    </row>
    <row r="43" spans="1:8" hidden="1" x14ac:dyDescent="0.3">
      <c r="A43" t="s">
        <v>67</v>
      </c>
      <c r="B43" t="s">
        <v>15</v>
      </c>
      <c r="C43" t="s">
        <v>58</v>
      </c>
      <c r="D43" t="s">
        <v>61</v>
      </c>
      <c r="E43" s="18">
        <v>-34020</v>
      </c>
      <c r="F43" s="18">
        <v>-33598.43</v>
      </c>
      <c r="G43" s="18">
        <v>421.57</v>
      </c>
      <c r="H43" s="19">
        <v>1.2391828336272801</v>
      </c>
    </row>
    <row r="44" spans="1:8" hidden="1" x14ac:dyDescent="0.3">
      <c r="A44" t="s">
        <v>67</v>
      </c>
      <c r="B44" t="s">
        <v>15</v>
      </c>
      <c r="C44" t="s">
        <v>58</v>
      </c>
      <c r="D44" t="s">
        <v>62</v>
      </c>
      <c r="E44" s="18">
        <v>-280098</v>
      </c>
      <c r="F44" s="18">
        <v>-290110.27</v>
      </c>
      <c r="G44" s="18">
        <v>-10012.27</v>
      </c>
      <c r="H44" s="19">
        <v>-3.5745596184192698</v>
      </c>
    </row>
    <row r="45" spans="1:8" hidden="1" x14ac:dyDescent="0.3">
      <c r="A45" t="s">
        <v>67</v>
      </c>
      <c r="B45" t="s">
        <v>15</v>
      </c>
      <c r="C45" t="s">
        <v>58</v>
      </c>
      <c r="D45" t="s">
        <v>63</v>
      </c>
      <c r="E45" s="18">
        <v>-17010</v>
      </c>
      <c r="F45" s="18">
        <v>-17096.240000000002</v>
      </c>
      <c r="G45" s="18">
        <v>-86.240000000001601</v>
      </c>
      <c r="H45" s="19">
        <v>-0.50699588477367197</v>
      </c>
    </row>
    <row r="46" spans="1:8" hidden="1" x14ac:dyDescent="0.3">
      <c r="A46" t="s">
        <v>67</v>
      </c>
      <c r="B46" t="s">
        <v>15</v>
      </c>
      <c r="C46" t="s">
        <v>58</v>
      </c>
      <c r="D46" t="s">
        <v>64</v>
      </c>
      <c r="E46" s="18">
        <v>-114534</v>
      </c>
      <c r="F46" s="18">
        <v>-113917.92</v>
      </c>
      <c r="G46" s="18">
        <v>616.08000000000197</v>
      </c>
      <c r="H46" s="19">
        <v>0.53790140918853901</v>
      </c>
    </row>
    <row r="47" spans="1:8" hidden="1" x14ac:dyDescent="0.3">
      <c r="A47" t="s">
        <v>67</v>
      </c>
      <c r="B47" t="s">
        <v>15</v>
      </c>
      <c r="C47" t="s">
        <v>58</v>
      </c>
      <c r="D47" t="s">
        <v>65</v>
      </c>
      <c r="E47" s="18">
        <v>-25000</v>
      </c>
      <c r="F47" s="18">
        <v>-25800.9</v>
      </c>
      <c r="G47" s="18">
        <v>-800.90000000000202</v>
      </c>
      <c r="H47" s="19">
        <v>-3.20360000000001</v>
      </c>
    </row>
    <row r="48" spans="1:8" x14ac:dyDescent="0.3">
      <c r="A48" t="s">
        <v>68</v>
      </c>
      <c r="B48" t="s">
        <v>15</v>
      </c>
      <c r="C48" t="s">
        <v>48</v>
      </c>
      <c r="D48" t="s">
        <v>49</v>
      </c>
      <c r="E48" s="18">
        <v>-2249856</v>
      </c>
      <c r="F48" s="18">
        <v>-2221250.2599999998</v>
      </c>
      <c r="G48" s="18">
        <v>28605.740000000202</v>
      </c>
      <c r="H48" s="19">
        <v>1.2714475948682999</v>
      </c>
    </row>
    <row r="49" spans="1:8" hidden="1" x14ac:dyDescent="0.3">
      <c r="A49" t="s">
        <v>68</v>
      </c>
      <c r="B49" t="s">
        <v>15</v>
      </c>
      <c r="C49" t="s">
        <v>48</v>
      </c>
      <c r="D49" t="s">
        <v>50</v>
      </c>
      <c r="E49" s="18">
        <v>-40000</v>
      </c>
      <c r="F49" s="18">
        <v>-40627.18</v>
      </c>
      <c r="G49" s="18">
        <v>-627.17999999999995</v>
      </c>
      <c r="H49" s="19">
        <v>-1.56795</v>
      </c>
    </row>
    <row r="50" spans="1:8" hidden="1" x14ac:dyDescent="0.3">
      <c r="A50" t="s">
        <v>68</v>
      </c>
      <c r="B50" t="s">
        <v>15</v>
      </c>
      <c r="C50" t="s">
        <v>48</v>
      </c>
      <c r="D50" t="s">
        <v>51</v>
      </c>
      <c r="E50" s="18">
        <v>0</v>
      </c>
      <c r="F50" s="18">
        <v>0</v>
      </c>
      <c r="G50" s="18">
        <v>0</v>
      </c>
      <c r="H50" s="19">
        <v>0</v>
      </c>
    </row>
    <row r="51" spans="1:8" hidden="1" x14ac:dyDescent="0.3">
      <c r="A51" t="s">
        <v>68</v>
      </c>
      <c r="B51" t="s">
        <v>15</v>
      </c>
      <c r="C51" t="s">
        <v>48</v>
      </c>
      <c r="D51" t="s">
        <v>52</v>
      </c>
      <c r="E51" s="18">
        <v>-45000</v>
      </c>
      <c r="F51" s="18">
        <v>-47084.36</v>
      </c>
      <c r="G51" s="18">
        <v>-2084.36</v>
      </c>
      <c r="H51" s="19">
        <v>-4.6319111111111102</v>
      </c>
    </row>
    <row r="52" spans="1:8" hidden="1" x14ac:dyDescent="0.3">
      <c r="A52" t="s">
        <v>68</v>
      </c>
      <c r="B52" t="s">
        <v>15</v>
      </c>
      <c r="C52" t="s">
        <v>48</v>
      </c>
      <c r="D52" t="s">
        <v>53</v>
      </c>
      <c r="E52" s="18">
        <v>-70000</v>
      </c>
      <c r="F52" s="18">
        <v>-71124.710000000006</v>
      </c>
      <c r="G52" s="18">
        <v>-1124.71000000001</v>
      </c>
      <c r="H52" s="19">
        <v>-1.6067285714285799</v>
      </c>
    </row>
    <row r="53" spans="1:8" hidden="1" x14ac:dyDescent="0.3">
      <c r="A53" t="s">
        <v>68</v>
      </c>
      <c r="B53" t="s">
        <v>15</v>
      </c>
      <c r="C53" t="s">
        <v>48</v>
      </c>
      <c r="D53" t="s">
        <v>54</v>
      </c>
      <c r="E53" s="18">
        <v>-15000</v>
      </c>
      <c r="F53" s="18">
        <v>-14673.47</v>
      </c>
      <c r="G53" s="18">
        <v>326.530000000001</v>
      </c>
      <c r="H53" s="19">
        <v>2.1768666666666698</v>
      </c>
    </row>
    <row r="54" spans="1:8" hidden="1" x14ac:dyDescent="0.3">
      <c r="A54" t="s">
        <v>68</v>
      </c>
      <c r="B54" t="s">
        <v>15</v>
      </c>
      <c r="C54" t="s">
        <v>55</v>
      </c>
      <c r="D54" t="s">
        <v>56</v>
      </c>
      <c r="E54" s="18">
        <v>-179988.48000000001</v>
      </c>
      <c r="F54" s="18">
        <v>-180206.54</v>
      </c>
      <c r="G54" s="18">
        <v>-218.05999999999801</v>
      </c>
      <c r="H54" s="19">
        <v>-0.121152198185127</v>
      </c>
    </row>
    <row r="55" spans="1:8" hidden="1" x14ac:dyDescent="0.3">
      <c r="A55" t="s">
        <v>68</v>
      </c>
      <c r="B55" t="s">
        <v>15</v>
      </c>
      <c r="C55" t="s">
        <v>55</v>
      </c>
      <c r="D55" t="s">
        <v>57</v>
      </c>
      <c r="E55" s="18">
        <v>-449971.20000000001</v>
      </c>
      <c r="F55" s="18">
        <v>-453650.72</v>
      </c>
      <c r="G55" s="18">
        <v>-3679.51999999996</v>
      </c>
      <c r="H55" s="19">
        <v>-0.81772344541160902</v>
      </c>
    </row>
    <row r="56" spans="1:8" hidden="1" x14ac:dyDescent="0.3">
      <c r="A56" t="s">
        <v>68</v>
      </c>
      <c r="B56" t="s">
        <v>15</v>
      </c>
      <c r="C56" t="s">
        <v>58</v>
      </c>
      <c r="D56" t="s">
        <v>59</v>
      </c>
      <c r="E56" s="18">
        <v>-873180</v>
      </c>
      <c r="F56" s="18">
        <v>-873950</v>
      </c>
      <c r="G56" s="18">
        <v>-770</v>
      </c>
      <c r="H56" s="19">
        <v>-8.8183421516754901E-2</v>
      </c>
    </row>
    <row r="57" spans="1:8" hidden="1" x14ac:dyDescent="0.3">
      <c r="A57" t="s">
        <v>68</v>
      </c>
      <c r="B57" t="s">
        <v>15</v>
      </c>
      <c r="C57" t="s">
        <v>58</v>
      </c>
      <c r="D57" t="s">
        <v>60</v>
      </c>
      <c r="E57" s="18">
        <v>-283500</v>
      </c>
      <c r="F57" s="18">
        <v>-284000</v>
      </c>
      <c r="G57" s="18">
        <v>-500</v>
      </c>
      <c r="H57" s="19">
        <v>-0.17636684303351</v>
      </c>
    </row>
    <row r="58" spans="1:8" hidden="1" x14ac:dyDescent="0.3">
      <c r="A58" t="s">
        <v>68</v>
      </c>
      <c r="B58" t="s">
        <v>15</v>
      </c>
      <c r="C58" t="s">
        <v>58</v>
      </c>
      <c r="D58" t="s">
        <v>61</v>
      </c>
      <c r="E58" s="18">
        <v>-34020</v>
      </c>
      <c r="F58" s="18">
        <v>-33231.83</v>
      </c>
      <c r="G58" s="18">
        <v>788.16999999999803</v>
      </c>
      <c r="H58" s="19">
        <v>2.3167842445620201</v>
      </c>
    </row>
    <row r="59" spans="1:8" hidden="1" x14ac:dyDescent="0.3">
      <c r="A59" t="s">
        <v>68</v>
      </c>
      <c r="B59" t="s">
        <v>15</v>
      </c>
      <c r="C59" t="s">
        <v>58</v>
      </c>
      <c r="D59" t="s">
        <v>62</v>
      </c>
      <c r="E59" s="18">
        <v>-280098</v>
      </c>
      <c r="F59" s="18">
        <v>-285782.74</v>
      </c>
      <c r="G59" s="18">
        <v>-5684.7399999999898</v>
      </c>
      <c r="H59" s="19">
        <v>-2.02955394183464</v>
      </c>
    </row>
    <row r="60" spans="1:8" hidden="1" x14ac:dyDescent="0.3">
      <c r="A60" t="s">
        <v>68</v>
      </c>
      <c r="B60" t="s">
        <v>15</v>
      </c>
      <c r="C60" t="s">
        <v>58</v>
      </c>
      <c r="D60" t="s">
        <v>63</v>
      </c>
      <c r="E60" s="18">
        <v>-17010</v>
      </c>
      <c r="F60" s="18">
        <v>-17106.09</v>
      </c>
      <c r="G60" s="18">
        <v>-96.090000000000202</v>
      </c>
      <c r="H60" s="19">
        <v>-0.56490299823633205</v>
      </c>
    </row>
    <row r="61" spans="1:8" hidden="1" x14ac:dyDescent="0.3">
      <c r="A61" t="s">
        <v>68</v>
      </c>
      <c r="B61" t="s">
        <v>15</v>
      </c>
      <c r="C61" t="s">
        <v>58</v>
      </c>
      <c r="D61" t="s">
        <v>64</v>
      </c>
      <c r="E61" s="18">
        <v>-114534</v>
      </c>
      <c r="F61" s="18">
        <v>-115851.26</v>
      </c>
      <c r="G61" s="18">
        <v>-1317.26</v>
      </c>
      <c r="H61" s="19">
        <v>-1.15010389927881</v>
      </c>
    </row>
    <row r="62" spans="1:8" hidden="1" x14ac:dyDescent="0.3">
      <c r="A62" t="s">
        <v>68</v>
      </c>
      <c r="B62" t="s">
        <v>15</v>
      </c>
      <c r="C62" t="s">
        <v>58</v>
      </c>
      <c r="D62" t="s">
        <v>65</v>
      </c>
      <c r="E62" s="18">
        <v>-25000</v>
      </c>
      <c r="F62" s="18">
        <v>-24744.29</v>
      </c>
      <c r="G62" s="18">
        <v>255.70999999999901</v>
      </c>
      <c r="H62" s="19">
        <v>1.02284</v>
      </c>
    </row>
    <row r="63" spans="1:8" x14ac:dyDescent="0.3">
      <c r="A63" t="s">
        <v>69</v>
      </c>
      <c r="B63" t="s">
        <v>15</v>
      </c>
      <c r="C63" t="s">
        <v>48</v>
      </c>
      <c r="D63" t="s">
        <v>49</v>
      </c>
      <c r="E63" s="18">
        <v>-2249856</v>
      </c>
      <c r="F63" s="18">
        <v>-2245348.37</v>
      </c>
      <c r="G63" s="18">
        <v>4507.6299999998901</v>
      </c>
      <c r="H63" s="19">
        <v>0.20035193363485901</v>
      </c>
    </row>
    <row r="64" spans="1:8" hidden="1" x14ac:dyDescent="0.3">
      <c r="A64" t="s">
        <v>69</v>
      </c>
      <c r="B64" t="s">
        <v>15</v>
      </c>
      <c r="C64" t="s">
        <v>48</v>
      </c>
      <c r="D64" t="s">
        <v>50</v>
      </c>
      <c r="E64" s="18">
        <v>-40000</v>
      </c>
      <c r="F64" s="18">
        <v>-39983.449999999997</v>
      </c>
      <c r="G64" s="18">
        <v>16.5500000000029</v>
      </c>
      <c r="H64" s="19">
        <v>4.1375000000007302E-2</v>
      </c>
    </row>
    <row r="65" spans="1:8" hidden="1" x14ac:dyDescent="0.3">
      <c r="A65" t="s">
        <v>69</v>
      </c>
      <c r="B65" t="s">
        <v>15</v>
      </c>
      <c r="C65" t="s">
        <v>48</v>
      </c>
      <c r="D65" t="s">
        <v>51</v>
      </c>
      <c r="E65" s="18">
        <v>0</v>
      </c>
      <c r="F65" s="18">
        <v>0</v>
      </c>
      <c r="G65" s="18">
        <v>0</v>
      </c>
      <c r="H65" s="19">
        <v>0</v>
      </c>
    </row>
    <row r="66" spans="1:8" hidden="1" x14ac:dyDescent="0.3">
      <c r="A66" t="s">
        <v>69</v>
      </c>
      <c r="B66" t="s">
        <v>15</v>
      </c>
      <c r="C66" t="s">
        <v>48</v>
      </c>
      <c r="D66" t="s">
        <v>52</v>
      </c>
      <c r="E66" s="18">
        <v>-45000</v>
      </c>
      <c r="F66" s="18">
        <v>-73011.679999999993</v>
      </c>
      <c r="G66" s="18">
        <v>-28011.68</v>
      </c>
      <c r="H66" s="19">
        <v>-62.248177777777798</v>
      </c>
    </row>
    <row r="67" spans="1:8" hidden="1" x14ac:dyDescent="0.3">
      <c r="A67" t="s">
        <v>69</v>
      </c>
      <c r="B67" t="s">
        <v>15</v>
      </c>
      <c r="C67" t="s">
        <v>48</v>
      </c>
      <c r="D67" t="s">
        <v>53</v>
      </c>
      <c r="E67" s="18">
        <v>-70000</v>
      </c>
      <c r="F67" s="18">
        <v>-70432.19</v>
      </c>
      <c r="G67" s="18">
        <v>-432.19000000000199</v>
      </c>
      <c r="H67" s="19">
        <v>-0.61741428571428902</v>
      </c>
    </row>
    <row r="68" spans="1:8" hidden="1" x14ac:dyDescent="0.3">
      <c r="A68" t="s">
        <v>69</v>
      </c>
      <c r="B68" t="s">
        <v>15</v>
      </c>
      <c r="C68" t="s">
        <v>48</v>
      </c>
      <c r="D68" t="s">
        <v>54</v>
      </c>
      <c r="E68" s="18">
        <v>-15000</v>
      </c>
      <c r="F68" s="18">
        <v>-14899.52</v>
      </c>
      <c r="G68" s="18">
        <v>100.48</v>
      </c>
      <c r="H68" s="19">
        <v>0.66986666666666395</v>
      </c>
    </row>
    <row r="69" spans="1:8" hidden="1" x14ac:dyDescent="0.3">
      <c r="A69" t="s">
        <v>69</v>
      </c>
      <c r="B69" t="s">
        <v>15</v>
      </c>
      <c r="C69" t="s">
        <v>55</v>
      </c>
      <c r="D69" t="s">
        <v>56</v>
      </c>
      <c r="E69" s="18">
        <v>-179988.48000000001</v>
      </c>
      <c r="F69" s="18">
        <v>-173576.86</v>
      </c>
      <c r="G69" s="18">
        <v>6411.6200000000199</v>
      </c>
      <c r="H69" s="19">
        <v>3.5622390944131701</v>
      </c>
    </row>
    <row r="70" spans="1:8" hidden="1" x14ac:dyDescent="0.3">
      <c r="A70" t="s">
        <v>69</v>
      </c>
      <c r="B70" t="s">
        <v>15</v>
      </c>
      <c r="C70" t="s">
        <v>55</v>
      </c>
      <c r="D70" t="s">
        <v>57</v>
      </c>
      <c r="E70" s="18">
        <v>-449971.20000000001</v>
      </c>
      <c r="F70" s="18">
        <v>-462586.31</v>
      </c>
      <c r="G70" s="18">
        <v>-12615.11</v>
      </c>
      <c r="H70" s="19">
        <v>-2.80353720415884</v>
      </c>
    </row>
    <row r="71" spans="1:8" hidden="1" x14ac:dyDescent="0.3">
      <c r="A71" t="s">
        <v>69</v>
      </c>
      <c r="B71" t="s">
        <v>15</v>
      </c>
      <c r="C71" t="s">
        <v>58</v>
      </c>
      <c r="D71" t="s">
        <v>59</v>
      </c>
      <c r="E71" s="18">
        <v>-833490</v>
      </c>
      <c r="F71" s="18">
        <v>-835485</v>
      </c>
      <c r="G71" s="18">
        <v>-1995</v>
      </c>
      <c r="H71" s="19">
        <v>-0.239355001259763</v>
      </c>
    </row>
    <row r="72" spans="1:8" hidden="1" x14ac:dyDescent="0.3">
      <c r="A72" t="s">
        <v>69</v>
      </c>
      <c r="B72" t="s">
        <v>15</v>
      </c>
      <c r="C72" t="s">
        <v>58</v>
      </c>
      <c r="D72" t="s">
        <v>60</v>
      </c>
      <c r="E72" s="18">
        <v>-283500</v>
      </c>
      <c r="F72" s="18">
        <v>-284750</v>
      </c>
      <c r="G72" s="18">
        <v>-1250</v>
      </c>
      <c r="H72" s="19">
        <v>-0.440917107583774</v>
      </c>
    </row>
    <row r="73" spans="1:8" hidden="1" x14ac:dyDescent="0.3">
      <c r="A73" t="s">
        <v>69</v>
      </c>
      <c r="B73" t="s">
        <v>15</v>
      </c>
      <c r="C73" t="s">
        <v>58</v>
      </c>
      <c r="D73" t="s">
        <v>61</v>
      </c>
      <c r="E73" s="18">
        <v>-34020</v>
      </c>
      <c r="F73" s="18">
        <v>-34222.99</v>
      </c>
      <c r="G73" s="18">
        <v>-202.98999999999799</v>
      </c>
      <c r="H73" s="19">
        <v>-0.59667842445619601</v>
      </c>
    </row>
    <row r="74" spans="1:8" hidden="1" x14ac:dyDescent="0.3">
      <c r="A74" t="s">
        <v>69</v>
      </c>
      <c r="B74" t="s">
        <v>15</v>
      </c>
      <c r="C74" t="s">
        <v>58</v>
      </c>
      <c r="D74" t="s">
        <v>62</v>
      </c>
      <c r="E74" s="18">
        <v>-280098</v>
      </c>
      <c r="F74" s="18">
        <v>-277429.09999999998</v>
      </c>
      <c r="G74" s="18">
        <v>2668.9000000000201</v>
      </c>
      <c r="H74" s="19">
        <v>0.95284507565210197</v>
      </c>
    </row>
    <row r="75" spans="1:8" hidden="1" x14ac:dyDescent="0.3">
      <c r="A75" t="s">
        <v>69</v>
      </c>
      <c r="B75" t="s">
        <v>15</v>
      </c>
      <c r="C75" t="s">
        <v>58</v>
      </c>
      <c r="D75" t="s">
        <v>63</v>
      </c>
      <c r="E75" s="18">
        <v>-17010</v>
      </c>
      <c r="F75" s="18">
        <v>-17084.939999999999</v>
      </c>
      <c r="G75" s="18">
        <v>-74.939999999998705</v>
      </c>
      <c r="H75" s="19">
        <v>-0.44056437389769998</v>
      </c>
    </row>
    <row r="76" spans="1:8" hidden="1" x14ac:dyDescent="0.3">
      <c r="A76" t="s">
        <v>69</v>
      </c>
      <c r="B76" t="s">
        <v>15</v>
      </c>
      <c r="C76" t="s">
        <v>58</v>
      </c>
      <c r="D76" t="s">
        <v>64</v>
      </c>
      <c r="E76" s="18">
        <v>-114534</v>
      </c>
      <c r="F76" s="18">
        <v>-111297.43</v>
      </c>
      <c r="G76" s="18">
        <v>3236.5700000000102</v>
      </c>
      <c r="H76" s="19">
        <v>2.8258595700839999</v>
      </c>
    </row>
    <row r="77" spans="1:8" hidden="1" x14ac:dyDescent="0.3">
      <c r="A77" t="s">
        <v>69</v>
      </c>
      <c r="B77" t="s">
        <v>15</v>
      </c>
      <c r="C77" t="s">
        <v>58</v>
      </c>
      <c r="D77" t="s">
        <v>65</v>
      </c>
      <c r="E77" s="18">
        <v>-25000</v>
      </c>
      <c r="F77" s="18">
        <v>-25809.41</v>
      </c>
      <c r="G77" s="18">
        <v>-809.41</v>
      </c>
      <c r="H77" s="19">
        <v>-3.2376399999999999</v>
      </c>
    </row>
    <row r="78" spans="1:8" x14ac:dyDescent="0.3">
      <c r="A78" t="s">
        <v>70</v>
      </c>
      <c r="B78" t="s">
        <v>15</v>
      </c>
      <c r="C78" t="s">
        <v>48</v>
      </c>
      <c r="D78" t="s">
        <v>49</v>
      </c>
      <c r="E78" s="18">
        <v>-2249856</v>
      </c>
      <c r="F78" s="18">
        <v>-2296768.25</v>
      </c>
      <c r="G78" s="18">
        <v>-46912.25</v>
      </c>
      <c r="H78" s="19">
        <v>-2.0851223367184399</v>
      </c>
    </row>
    <row r="79" spans="1:8" hidden="1" x14ac:dyDescent="0.3">
      <c r="A79" t="s">
        <v>70</v>
      </c>
      <c r="B79" t="s">
        <v>15</v>
      </c>
      <c r="C79" t="s">
        <v>48</v>
      </c>
      <c r="D79" t="s">
        <v>50</v>
      </c>
      <c r="E79" s="18">
        <v>-40000</v>
      </c>
      <c r="F79" s="18">
        <v>-38587.949999999997</v>
      </c>
      <c r="G79" s="18">
        <v>1412.05</v>
      </c>
      <c r="H79" s="19">
        <v>3.5301250000000102</v>
      </c>
    </row>
    <row r="80" spans="1:8" hidden="1" x14ac:dyDescent="0.3">
      <c r="A80" t="s">
        <v>70</v>
      </c>
      <c r="B80" t="s">
        <v>15</v>
      </c>
      <c r="C80" t="s">
        <v>48</v>
      </c>
      <c r="D80" t="s">
        <v>51</v>
      </c>
      <c r="E80" s="18">
        <v>0</v>
      </c>
      <c r="F80" s="18">
        <v>0</v>
      </c>
      <c r="G80" s="18">
        <v>0</v>
      </c>
      <c r="H80" s="19">
        <v>0</v>
      </c>
    </row>
    <row r="81" spans="1:8" hidden="1" x14ac:dyDescent="0.3">
      <c r="A81" t="s">
        <v>70</v>
      </c>
      <c r="B81" t="s">
        <v>15</v>
      </c>
      <c r="C81" t="s">
        <v>48</v>
      </c>
      <c r="D81" t="s">
        <v>52</v>
      </c>
      <c r="E81" s="18">
        <v>-45000</v>
      </c>
      <c r="F81" s="18">
        <v>-146650.34</v>
      </c>
      <c r="G81" s="18">
        <v>-101650.34</v>
      </c>
      <c r="H81" s="19">
        <v>-225.889644444444</v>
      </c>
    </row>
    <row r="82" spans="1:8" hidden="1" x14ac:dyDescent="0.3">
      <c r="A82" t="s">
        <v>70</v>
      </c>
      <c r="B82" t="s">
        <v>15</v>
      </c>
      <c r="C82" t="s">
        <v>48</v>
      </c>
      <c r="D82" t="s">
        <v>53</v>
      </c>
      <c r="E82" s="18">
        <v>-70000</v>
      </c>
      <c r="F82" s="18">
        <v>-68959.73</v>
      </c>
      <c r="G82" s="18">
        <v>1040.27</v>
      </c>
      <c r="H82" s="19">
        <v>1.48610000000001</v>
      </c>
    </row>
    <row r="83" spans="1:8" hidden="1" x14ac:dyDescent="0.3">
      <c r="A83" t="s">
        <v>70</v>
      </c>
      <c r="B83" t="s">
        <v>15</v>
      </c>
      <c r="C83" t="s">
        <v>48</v>
      </c>
      <c r="D83" t="s">
        <v>54</v>
      </c>
      <c r="E83" s="18">
        <v>-15000</v>
      </c>
      <c r="F83" s="18">
        <v>-15080.46</v>
      </c>
      <c r="G83" s="18">
        <v>-80.459999999999098</v>
      </c>
      <c r="H83" s="19">
        <v>-0.53639999999999399</v>
      </c>
    </row>
    <row r="84" spans="1:8" hidden="1" x14ac:dyDescent="0.3">
      <c r="A84" t="s">
        <v>70</v>
      </c>
      <c r="B84" t="s">
        <v>15</v>
      </c>
      <c r="C84" t="s">
        <v>55</v>
      </c>
      <c r="D84" t="s">
        <v>56</v>
      </c>
      <c r="E84" s="18">
        <v>-179988.48000000001</v>
      </c>
      <c r="F84" s="18">
        <v>-175633.97</v>
      </c>
      <c r="G84" s="18">
        <v>4354.5100000000102</v>
      </c>
      <c r="H84" s="19">
        <v>2.4193270591540101</v>
      </c>
    </row>
    <row r="85" spans="1:8" hidden="1" x14ac:dyDescent="0.3">
      <c r="A85" t="s">
        <v>70</v>
      </c>
      <c r="B85" t="s">
        <v>15</v>
      </c>
      <c r="C85" t="s">
        <v>55</v>
      </c>
      <c r="D85" t="s">
        <v>57</v>
      </c>
      <c r="E85" s="18">
        <v>-449971.20000000001</v>
      </c>
      <c r="F85" s="18">
        <v>-451732.11</v>
      </c>
      <c r="G85" s="18">
        <v>-1760.9099999999701</v>
      </c>
      <c r="H85" s="19">
        <v>-0.39133837898958301</v>
      </c>
    </row>
    <row r="86" spans="1:8" hidden="1" x14ac:dyDescent="0.3">
      <c r="A86" t="s">
        <v>70</v>
      </c>
      <c r="B86" t="s">
        <v>15</v>
      </c>
      <c r="C86" t="s">
        <v>58</v>
      </c>
      <c r="D86" t="s">
        <v>59</v>
      </c>
      <c r="E86" s="18">
        <v>-873180</v>
      </c>
      <c r="F86" s="18">
        <v>-863730</v>
      </c>
      <c r="G86" s="18">
        <v>9450</v>
      </c>
      <c r="H86" s="19">
        <v>1.08225108225108</v>
      </c>
    </row>
    <row r="87" spans="1:8" hidden="1" x14ac:dyDescent="0.3">
      <c r="A87" t="s">
        <v>70</v>
      </c>
      <c r="B87" t="s">
        <v>15</v>
      </c>
      <c r="C87" t="s">
        <v>58</v>
      </c>
      <c r="D87" t="s">
        <v>60</v>
      </c>
      <c r="E87" s="18">
        <v>-283500</v>
      </c>
      <c r="F87" s="18">
        <v>-278500</v>
      </c>
      <c r="G87" s="18">
        <v>5000</v>
      </c>
      <c r="H87" s="19">
        <v>1.7636684303351</v>
      </c>
    </row>
    <row r="88" spans="1:8" hidden="1" x14ac:dyDescent="0.3">
      <c r="A88" t="s">
        <v>70</v>
      </c>
      <c r="B88" t="s">
        <v>15</v>
      </c>
      <c r="C88" t="s">
        <v>58</v>
      </c>
      <c r="D88" t="s">
        <v>61</v>
      </c>
      <c r="E88" s="18">
        <v>-34020</v>
      </c>
      <c r="F88" s="18">
        <v>-34645.75</v>
      </c>
      <c r="G88" s="18">
        <v>-625.75</v>
      </c>
      <c r="H88" s="19">
        <v>-1.8393592004703101</v>
      </c>
    </row>
    <row r="89" spans="1:8" hidden="1" x14ac:dyDescent="0.3">
      <c r="A89" t="s">
        <v>70</v>
      </c>
      <c r="B89" t="s">
        <v>15</v>
      </c>
      <c r="C89" t="s">
        <v>58</v>
      </c>
      <c r="D89" t="s">
        <v>62</v>
      </c>
      <c r="E89" s="18">
        <v>-280098</v>
      </c>
      <c r="F89" s="18">
        <v>-283707.61</v>
      </c>
      <c r="G89" s="18">
        <v>-3609.6099999999901</v>
      </c>
      <c r="H89" s="19">
        <v>-1.2886953851866101</v>
      </c>
    </row>
    <row r="90" spans="1:8" hidden="1" x14ac:dyDescent="0.3">
      <c r="A90" t="s">
        <v>70</v>
      </c>
      <c r="B90" t="s">
        <v>15</v>
      </c>
      <c r="C90" t="s">
        <v>58</v>
      </c>
      <c r="D90" t="s">
        <v>63</v>
      </c>
      <c r="E90" s="18">
        <v>-17010</v>
      </c>
      <c r="F90" s="18">
        <v>-16871.669999999998</v>
      </c>
      <c r="G90" s="18">
        <v>138.330000000002</v>
      </c>
      <c r="H90" s="19">
        <v>0.81322751322752396</v>
      </c>
    </row>
    <row r="91" spans="1:8" hidden="1" x14ac:dyDescent="0.3">
      <c r="A91" t="s">
        <v>70</v>
      </c>
      <c r="B91" t="s">
        <v>15</v>
      </c>
      <c r="C91" t="s">
        <v>58</v>
      </c>
      <c r="D91" t="s">
        <v>64</v>
      </c>
      <c r="E91" s="18">
        <v>-114534</v>
      </c>
      <c r="F91" s="18">
        <v>-109456.09</v>
      </c>
      <c r="G91" s="18">
        <v>5077.91</v>
      </c>
      <c r="H91" s="19">
        <v>4.4335393856846004</v>
      </c>
    </row>
    <row r="92" spans="1:8" hidden="1" x14ac:dyDescent="0.3">
      <c r="A92" t="s">
        <v>70</v>
      </c>
      <c r="B92" t="s">
        <v>15</v>
      </c>
      <c r="C92" t="s">
        <v>58</v>
      </c>
      <c r="D92" t="s">
        <v>65</v>
      </c>
      <c r="E92" s="18">
        <v>-25000</v>
      </c>
      <c r="F92" s="18">
        <v>-25894.12</v>
      </c>
      <c r="G92" s="18">
        <v>-894.11999999999898</v>
      </c>
      <c r="H92" s="19">
        <v>-3.5764800000000001</v>
      </c>
    </row>
    <row r="93" spans="1:8" x14ac:dyDescent="0.3">
      <c r="A93" t="s">
        <v>71</v>
      </c>
      <c r="B93" t="s">
        <v>15</v>
      </c>
      <c r="C93" t="s">
        <v>48</v>
      </c>
      <c r="D93" t="s">
        <v>49</v>
      </c>
      <c r="E93" s="18">
        <v>-2249856</v>
      </c>
      <c r="F93" s="18">
        <v>-2145031.42</v>
      </c>
      <c r="G93" s="18">
        <v>104824.58</v>
      </c>
      <c r="H93" s="19">
        <v>4.6591684090004</v>
      </c>
    </row>
    <row r="94" spans="1:8" hidden="1" x14ac:dyDescent="0.3">
      <c r="A94" t="s">
        <v>71</v>
      </c>
      <c r="B94" t="s">
        <v>15</v>
      </c>
      <c r="C94" t="s">
        <v>48</v>
      </c>
      <c r="D94" t="s">
        <v>50</v>
      </c>
      <c r="E94" s="18">
        <v>-184000</v>
      </c>
      <c r="F94" s="18">
        <v>-181022.28</v>
      </c>
      <c r="G94" s="18">
        <v>2977.72</v>
      </c>
      <c r="H94" s="19">
        <v>1.6183260869565199</v>
      </c>
    </row>
    <row r="95" spans="1:8" hidden="1" x14ac:dyDescent="0.3">
      <c r="A95" t="s">
        <v>71</v>
      </c>
      <c r="B95" t="s">
        <v>15</v>
      </c>
      <c r="C95" t="s">
        <v>48</v>
      </c>
      <c r="D95" t="s">
        <v>51</v>
      </c>
      <c r="E95" s="18">
        <v>0</v>
      </c>
      <c r="F95" s="18">
        <v>0</v>
      </c>
      <c r="G95" s="18">
        <v>0</v>
      </c>
      <c r="H95" s="19">
        <v>0</v>
      </c>
    </row>
    <row r="96" spans="1:8" hidden="1" x14ac:dyDescent="0.3">
      <c r="A96" t="s">
        <v>71</v>
      </c>
      <c r="B96" t="s">
        <v>15</v>
      </c>
      <c r="C96" t="s">
        <v>48</v>
      </c>
      <c r="D96" t="s">
        <v>52</v>
      </c>
      <c r="E96" s="18">
        <v>-45000</v>
      </c>
      <c r="F96" s="18">
        <v>-58391.77</v>
      </c>
      <c r="G96" s="18">
        <v>-13391.77</v>
      </c>
      <c r="H96" s="19">
        <v>-29.7594888888889</v>
      </c>
    </row>
    <row r="97" spans="1:8" hidden="1" x14ac:dyDescent="0.3">
      <c r="A97" t="s">
        <v>71</v>
      </c>
      <c r="B97" t="s">
        <v>15</v>
      </c>
      <c r="C97" t="s">
        <v>48</v>
      </c>
      <c r="D97" t="s">
        <v>53</v>
      </c>
      <c r="E97" s="18">
        <v>-70000</v>
      </c>
      <c r="F97" s="18">
        <v>-69929.23</v>
      </c>
      <c r="G97" s="18">
        <v>70.770000000004103</v>
      </c>
      <c r="H97" s="19">
        <v>0.101100000000006</v>
      </c>
    </row>
    <row r="98" spans="1:8" hidden="1" x14ac:dyDescent="0.3">
      <c r="A98" t="s">
        <v>71</v>
      </c>
      <c r="B98" t="s">
        <v>15</v>
      </c>
      <c r="C98" t="s">
        <v>48</v>
      </c>
      <c r="D98" t="s">
        <v>54</v>
      </c>
      <c r="E98" s="18">
        <v>-15000</v>
      </c>
      <c r="F98" s="18">
        <v>-14511.47</v>
      </c>
      <c r="G98" s="18">
        <v>488.530000000001</v>
      </c>
      <c r="H98" s="19">
        <v>3.2568666666666699</v>
      </c>
    </row>
    <row r="99" spans="1:8" hidden="1" x14ac:dyDescent="0.3">
      <c r="A99" t="s">
        <v>71</v>
      </c>
      <c r="B99" t="s">
        <v>15</v>
      </c>
      <c r="C99" t="s">
        <v>55</v>
      </c>
      <c r="D99" t="s">
        <v>56</v>
      </c>
      <c r="E99" s="18">
        <v>-179988.48000000001</v>
      </c>
      <c r="F99" s="18">
        <v>-171448.74</v>
      </c>
      <c r="G99" s="18">
        <v>8539.7400000000198</v>
      </c>
      <c r="H99" s="19">
        <v>4.7446036546339103</v>
      </c>
    </row>
    <row r="100" spans="1:8" hidden="1" x14ac:dyDescent="0.3">
      <c r="A100" t="s">
        <v>71</v>
      </c>
      <c r="B100" t="s">
        <v>15</v>
      </c>
      <c r="C100" t="s">
        <v>55</v>
      </c>
      <c r="D100" t="s">
        <v>57</v>
      </c>
      <c r="E100" s="18">
        <v>-449971.20000000001</v>
      </c>
      <c r="F100" s="18">
        <v>-449725.21</v>
      </c>
      <c r="G100" s="18">
        <v>245.989999999991</v>
      </c>
      <c r="H100" s="19">
        <v>5.4667943192806698E-2</v>
      </c>
    </row>
    <row r="101" spans="1:8" hidden="1" x14ac:dyDescent="0.3">
      <c r="A101" t="s">
        <v>71</v>
      </c>
      <c r="B101" t="s">
        <v>15</v>
      </c>
      <c r="C101" t="s">
        <v>58</v>
      </c>
      <c r="D101" t="s">
        <v>59</v>
      </c>
      <c r="E101" s="18">
        <v>-912870</v>
      </c>
      <c r="F101" s="18">
        <v>-902580</v>
      </c>
      <c r="G101" s="18">
        <v>10290</v>
      </c>
      <c r="H101" s="19">
        <v>1.1272141706924299</v>
      </c>
    </row>
    <row r="102" spans="1:8" hidden="1" x14ac:dyDescent="0.3">
      <c r="A102" t="s">
        <v>71</v>
      </c>
      <c r="B102" t="s">
        <v>15</v>
      </c>
      <c r="C102" t="s">
        <v>58</v>
      </c>
      <c r="D102" t="s">
        <v>60</v>
      </c>
      <c r="E102" s="18">
        <v>-283500</v>
      </c>
      <c r="F102" s="18">
        <v>-281000</v>
      </c>
      <c r="G102" s="18">
        <v>2500</v>
      </c>
      <c r="H102" s="19">
        <v>0.88183421516754901</v>
      </c>
    </row>
    <row r="103" spans="1:8" hidden="1" x14ac:dyDescent="0.3">
      <c r="A103" t="s">
        <v>71</v>
      </c>
      <c r="B103" t="s">
        <v>15</v>
      </c>
      <c r="C103" t="s">
        <v>58</v>
      </c>
      <c r="D103" t="s">
        <v>61</v>
      </c>
      <c r="E103" s="18">
        <v>-34020</v>
      </c>
      <c r="F103" s="18">
        <v>-33697.03</v>
      </c>
      <c r="G103" s="18">
        <v>322.97000000000099</v>
      </c>
      <c r="H103" s="19">
        <v>0.94935332157554697</v>
      </c>
    </row>
    <row r="104" spans="1:8" hidden="1" x14ac:dyDescent="0.3">
      <c r="A104" t="s">
        <v>71</v>
      </c>
      <c r="B104" t="s">
        <v>15</v>
      </c>
      <c r="C104" t="s">
        <v>58</v>
      </c>
      <c r="D104" t="s">
        <v>62</v>
      </c>
      <c r="E104" s="18">
        <v>-280098</v>
      </c>
      <c r="F104" s="18">
        <v>-279879.71999999997</v>
      </c>
      <c r="G104" s="18">
        <v>218.280000000028</v>
      </c>
      <c r="H104" s="19">
        <v>7.7929867403561601E-2</v>
      </c>
    </row>
    <row r="105" spans="1:8" hidden="1" x14ac:dyDescent="0.3">
      <c r="A105" t="s">
        <v>71</v>
      </c>
      <c r="B105" t="s">
        <v>15</v>
      </c>
      <c r="C105" t="s">
        <v>58</v>
      </c>
      <c r="D105" t="s">
        <v>63</v>
      </c>
      <c r="E105" s="18">
        <v>-17010</v>
      </c>
      <c r="F105" s="18">
        <v>-16946.36</v>
      </c>
      <c r="G105" s="18">
        <v>63.639999999999397</v>
      </c>
      <c r="H105" s="19">
        <v>0.37413286302174897</v>
      </c>
    </row>
    <row r="106" spans="1:8" hidden="1" x14ac:dyDescent="0.3">
      <c r="A106" t="s">
        <v>71</v>
      </c>
      <c r="B106" t="s">
        <v>15</v>
      </c>
      <c r="C106" t="s">
        <v>58</v>
      </c>
      <c r="D106" t="s">
        <v>64</v>
      </c>
      <c r="E106" s="18">
        <v>-114534</v>
      </c>
      <c r="F106" s="18">
        <v>-117070.12</v>
      </c>
      <c r="G106" s="18">
        <v>-2536.12</v>
      </c>
      <c r="H106" s="19">
        <v>-2.2142944453175399</v>
      </c>
    </row>
    <row r="107" spans="1:8" hidden="1" x14ac:dyDescent="0.3">
      <c r="A107" t="s">
        <v>71</v>
      </c>
      <c r="B107" t="s">
        <v>15</v>
      </c>
      <c r="C107" t="s">
        <v>58</v>
      </c>
      <c r="D107" t="s">
        <v>65</v>
      </c>
      <c r="E107" s="18">
        <v>-25000</v>
      </c>
      <c r="F107" s="18">
        <v>-25836.79</v>
      </c>
      <c r="G107" s="18">
        <v>-836.79000000000099</v>
      </c>
      <c r="H107" s="19">
        <v>-3.3471600000000001</v>
      </c>
    </row>
    <row r="108" spans="1:8" x14ac:dyDescent="0.3">
      <c r="A108" t="s">
        <v>72</v>
      </c>
      <c r="B108" t="s">
        <v>73</v>
      </c>
      <c r="C108" t="s">
        <v>48</v>
      </c>
      <c r="D108" t="s">
        <v>49</v>
      </c>
      <c r="E108" s="18">
        <v>-2249856</v>
      </c>
      <c r="F108" s="18">
        <v>-2230016</v>
      </c>
      <c r="G108" s="18">
        <v>19840</v>
      </c>
      <c r="H108" s="19">
        <v>0.88183421516754901</v>
      </c>
    </row>
    <row r="109" spans="1:8" hidden="1" x14ac:dyDescent="0.3">
      <c r="A109" t="s">
        <v>72</v>
      </c>
      <c r="B109" t="s">
        <v>73</v>
      </c>
      <c r="C109" t="s">
        <v>48</v>
      </c>
      <c r="D109" t="s">
        <v>50</v>
      </c>
      <c r="E109" s="18">
        <v>-40000</v>
      </c>
      <c r="F109" s="18">
        <v>-40000</v>
      </c>
      <c r="G109" s="18">
        <v>0</v>
      </c>
      <c r="H109" s="19">
        <v>0</v>
      </c>
    </row>
    <row r="110" spans="1:8" hidden="1" x14ac:dyDescent="0.3">
      <c r="A110" t="s">
        <v>72</v>
      </c>
      <c r="B110" t="s">
        <v>73</v>
      </c>
      <c r="C110" t="s">
        <v>48</v>
      </c>
      <c r="D110" t="s">
        <v>51</v>
      </c>
      <c r="E110" s="18">
        <v>0</v>
      </c>
      <c r="F110" s="18">
        <v>0</v>
      </c>
      <c r="G110" s="18">
        <v>0</v>
      </c>
      <c r="H110" s="19">
        <v>0</v>
      </c>
    </row>
    <row r="111" spans="1:8" hidden="1" x14ac:dyDescent="0.3">
      <c r="A111" t="s">
        <v>72</v>
      </c>
      <c r="B111" t="s">
        <v>73</v>
      </c>
      <c r="C111" t="s">
        <v>48</v>
      </c>
      <c r="D111" t="s">
        <v>52</v>
      </c>
      <c r="E111" s="18">
        <v>-45000</v>
      </c>
      <c r="F111" s="18">
        <v>-45000</v>
      </c>
      <c r="G111" s="18">
        <v>0</v>
      </c>
      <c r="H111" s="19">
        <v>0</v>
      </c>
    </row>
    <row r="112" spans="1:8" hidden="1" x14ac:dyDescent="0.3">
      <c r="A112" t="s">
        <v>72</v>
      </c>
      <c r="B112" t="s">
        <v>73</v>
      </c>
      <c r="C112" t="s">
        <v>48</v>
      </c>
      <c r="D112" t="s">
        <v>53</v>
      </c>
      <c r="E112" s="18">
        <v>-70000</v>
      </c>
      <c r="F112" s="18">
        <v>-70000</v>
      </c>
      <c r="G112" s="18">
        <v>0</v>
      </c>
      <c r="H112" s="19">
        <v>0</v>
      </c>
    </row>
    <row r="113" spans="1:8" hidden="1" x14ac:dyDescent="0.3">
      <c r="A113" t="s">
        <v>72</v>
      </c>
      <c r="B113" t="s">
        <v>73</v>
      </c>
      <c r="C113" t="s">
        <v>48</v>
      </c>
      <c r="D113" t="s">
        <v>54</v>
      </c>
      <c r="E113" s="18">
        <v>-15000</v>
      </c>
      <c r="F113" s="18">
        <v>-15000</v>
      </c>
      <c r="G113" s="18">
        <v>0</v>
      </c>
      <c r="H113" s="19">
        <v>0</v>
      </c>
    </row>
    <row r="114" spans="1:8" hidden="1" x14ac:dyDescent="0.3">
      <c r="A114" t="s">
        <v>72</v>
      </c>
      <c r="B114" t="s">
        <v>73</v>
      </c>
      <c r="C114" t="s">
        <v>55</v>
      </c>
      <c r="D114" t="s">
        <v>56</v>
      </c>
      <c r="E114" s="18">
        <v>-179988.48000000001</v>
      </c>
      <c r="F114" s="18">
        <v>-178401.28</v>
      </c>
      <c r="G114" s="18">
        <v>1587.20000000001</v>
      </c>
      <c r="H114" s="19">
        <v>0.881834215167555</v>
      </c>
    </row>
    <row r="115" spans="1:8" hidden="1" x14ac:dyDescent="0.3">
      <c r="A115" t="s">
        <v>72</v>
      </c>
      <c r="B115" t="s">
        <v>73</v>
      </c>
      <c r="C115" t="s">
        <v>55</v>
      </c>
      <c r="D115" t="s">
        <v>57</v>
      </c>
      <c r="E115" s="18">
        <v>-449971.20000000001</v>
      </c>
      <c r="F115" s="18">
        <v>-446003.20000000001</v>
      </c>
      <c r="G115" s="18">
        <v>3968</v>
      </c>
      <c r="H115" s="19">
        <v>0.88183421516754901</v>
      </c>
    </row>
    <row r="116" spans="1:8" hidden="1" x14ac:dyDescent="0.3">
      <c r="A116" t="s">
        <v>72</v>
      </c>
      <c r="B116" t="s">
        <v>73</v>
      </c>
      <c r="C116" t="s">
        <v>58</v>
      </c>
      <c r="D116" t="s">
        <v>59</v>
      </c>
      <c r="E116" s="18">
        <v>-833490</v>
      </c>
      <c r="F116" s="18">
        <v>-826140</v>
      </c>
      <c r="G116" s="18">
        <v>7350</v>
      </c>
      <c r="H116" s="19">
        <v>0.88183421516754901</v>
      </c>
    </row>
    <row r="117" spans="1:8" hidden="1" x14ac:dyDescent="0.3">
      <c r="A117" t="s">
        <v>72</v>
      </c>
      <c r="B117" t="s">
        <v>73</v>
      </c>
      <c r="C117" t="s">
        <v>58</v>
      </c>
      <c r="D117" t="s">
        <v>60</v>
      </c>
      <c r="E117" s="18">
        <v>-283500</v>
      </c>
      <c r="F117" s="18">
        <v>-281000</v>
      </c>
      <c r="G117" s="18">
        <v>2500</v>
      </c>
      <c r="H117" s="19">
        <v>0.88183421516754901</v>
      </c>
    </row>
    <row r="118" spans="1:8" hidden="1" x14ac:dyDescent="0.3">
      <c r="A118" t="s">
        <v>72</v>
      </c>
      <c r="B118" t="s">
        <v>73</v>
      </c>
      <c r="C118" t="s">
        <v>58</v>
      </c>
      <c r="D118" t="s">
        <v>61</v>
      </c>
      <c r="E118" s="18">
        <v>-34020</v>
      </c>
      <c r="F118" s="18">
        <v>-33720</v>
      </c>
      <c r="G118" s="18">
        <v>300</v>
      </c>
      <c r="H118" s="19">
        <v>0.88183421516754901</v>
      </c>
    </row>
    <row r="119" spans="1:8" hidden="1" x14ac:dyDescent="0.3">
      <c r="A119" t="s">
        <v>72</v>
      </c>
      <c r="B119" t="s">
        <v>73</v>
      </c>
      <c r="C119" t="s">
        <v>58</v>
      </c>
      <c r="D119" t="s">
        <v>62</v>
      </c>
      <c r="E119" s="18">
        <v>-280098</v>
      </c>
      <c r="F119" s="18">
        <v>-277628</v>
      </c>
      <c r="G119" s="18">
        <v>2470</v>
      </c>
      <c r="H119" s="19">
        <v>0.88183421516754901</v>
      </c>
    </row>
    <row r="120" spans="1:8" hidden="1" x14ac:dyDescent="0.3">
      <c r="A120" t="s">
        <v>72</v>
      </c>
      <c r="B120" t="s">
        <v>73</v>
      </c>
      <c r="C120" t="s">
        <v>58</v>
      </c>
      <c r="D120" t="s">
        <v>63</v>
      </c>
      <c r="E120" s="18">
        <v>-17010</v>
      </c>
      <c r="F120" s="18">
        <v>-16860</v>
      </c>
      <c r="G120" s="18">
        <v>150</v>
      </c>
      <c r="H120" s="19">
        <v>0.88183421516754901</v>
      </c>
    </row>
    <row r="121" spans="1:8" hidden="1" x14ac:dyDescent="0.3">
      <c r="A121" t="s">
        <v>72</v>
      </c>
      <c r="B121" t="s">
        <v>73</v>
      </c>
      <c r="C121" t="s">
        <v>58</v>
      </c>
      <c r="D121" t="s">
        <v>64</v>
      </c>
      <c r="E121" s="18">
        <v>-114534</v>
      </c>
      <c r="F121" s="18">
        <v>-113524</v>
      </c>
      <c r="G121" s="18">
        <v>1010</v>
      </c>
      <c r="H121" s="19">
        <v>0.88183421516754901</v>
      </c>
    </row>
    <row r="122" spans="1:8" hidden="1" x14ac:dyDescent="0.3">
      <c r="A122" t="s">
        <v>72</v>
      </c>
      <c r="B122" t="s">
        <v>73</v>
      </c>
      <c r="C122" t="s">
        <v>58</v>
      </c>
      <c r="D122" t="s">
        <v>65</v>
      </c>
      <c r="E122" s="18">
        <v>-1100000</v>
      </c>
      <c r="F122" s="18">
        <v>-1100000</v>
      </c>
      <c r="G122" s="18">
        <v>0</v>
      </c>
      <c r="H122" s="19">
        <v>0</v>
      </c>
    </row>
    <row r="123" spans="1:8" x14ac:dyDescent="0.3">
      <c r="A123" t="s">
        <v>74</v>
      </c>
      <c r="B123" t="s">
        <v>73</v>
      </c>
      <c r="C123" t="s">
        <v>48</v>
      </c>
      <c r="D123" t="s">
        <v>49</v>
      </c>
      <c r="E123" s="18">
        <v>-2249856</v>
      </c>
      <c r="F123" s="18">
        <v>-2230016</v>
      </c>
      <c r="G123" s="18">
        <v>19840</v>
      </c>
      <c r="H123" s="19">
        <v>0.88183421516754901</v>
      </c>
    </row>
    <row r="124" spans="1:8" hidden="1" x14ac:dyDescent="0.3">
      <c r="A124" t="s">
        <v>74</v>
      </c>
      <c r="B124" t="s">
        <v>73</v>
      </c>
      <c r="C124" t="s">
        <v>48</v>
      </c>
      <c r="D124" t="s">
        <v>50</v>
      </c>
      <c r="E124" s="18">
        <v>-40000</v>
      </c>
      <c r="F124" s="18">
        <v>-40000</v>
      </c>
      <c r="G124" s="18">
        <v>0</v>
      </c>
      <c r="H124" s="19">
        <v>0</v>
      </c>
    </row>
    <row r="125" spans="1:8" hidden="1" x14ac:dyDescent="0.3">
      <c r="A125" t="s">
        <v>74</v>
      </c>
      <c r="B125" t="s">
        <v>73</v>
      </c>
      <c r="C125" t="s">
        <v>48</v>
      </c>
      <c r="D125" t="s">
        <v>51</v>
      </c>
      <c r="E125" s="18">
        <v>0</v>
      </c>
      <c r="F125" s="18">
        <v>0</v>
      </c>
      <c r="G125" s="18">
        <v>0</v>
      </c>
      <c r="H125" s="19">
        <v>0</v>
      </c>
    </row>
    <row r="126" spans="1:8" hidden="1" x14ac:dyDescent="0.3">
      <c r="A126" t="s">
        <v>74</v>
      </c>
      <c r="B126" t="s">
        <v>73</v>
      </c>
      <c r="C126" t="s">
        <v>48</v>
      </c>
      <c r="D126" t="s">
        <v>52</v>
      </c>
      <c r="E126" s="18">
        <v>-45000</v>
      </c>
      <c r="F126" s="18">
        <v>-45000</v>
      </c>
      <c r="G126" s="18">
        <v>0</v>
      </c>
      <c r="H126" s="19">
        <v>0</v>
      </c>
    </row>
    <row r="127" spans="1:8" hidden="1" x14ac:dyDescent="0.3">
      <c r="A127" t="s">
        <v>74</v>
      </c>
      <c r="B127" t="s">
        <v>73</v>
      </c>
      <c r="C127" t="s">
        <v>48</v>
      </c>
      <c r="D127" t="s">
        <v>53</v>
      </c>
      <c r="E127" s="18">
        <v>-70000</v>
      </c>
      <c r="F127" s="18">
        <v>-70000</v>
      </c>
      <c r="G127" s="18">
        <v>0</v>
      </c>
      <c r="H127" s="19">
        <v>0</v>
      </c>
    </row>
    <row r="128" spans="1:8" hidden="1" x14ac:dyDescent="0.3">
      <c r="A128" t="s">
        <v>74</v>
      </c>
      <c r="B128" t="s">
        <v>73</v>
      </c>
      <c r="C128" t="s">
        <v>48</v>
      </c>
      <c r="D128" t="s">
        <v>54</v>
      </c>
      <c r="E128" s="18">
        <v>-15000</v>
      </c>
      <c r="F128" s="18">
        <v>-15000</v>
      </c>
      <c r="G128" s="18">
        <v>0</v>
      </c>
      <c r="H128" s="19">
        <v>0</v>
      </c>
    </row>
    <row r="129" spans="1:8" hidden="1" x14ac:dyDescent="0.3">
      <c r="A129" t="s">
        <v>74</v>
      </c>
      <c r="B129" t="s">
        <v>73</v>
      </c>
      <c r="C129" t="s">
        <v>55</v>
      </c>
      <c r="D129" t="s">
        <v>56</v>
      </c>
      <c r="E129" s="18">
        <v>-179988.48000000001</v>
      </c>
      <c r="F129" s="18">
        <v>-178401.28</v>
      </c>
      <c r="G129" s="18">
        <v>1587.20000000001</v>
      </c>
      <c r="H129" s="19">
        <v>0.881834215167555</v>
      </c>
    </row>
    <row r="130" spans="1:8" hidden="1" x14ac:dyDescent="0.3">
      <c r="A130" t="s">
        <v>74</v>
      </c>
      <c r="B130" t="s">
        <v>73</v>
      </c>
      <c r="C130" t="s">
        <v>55</v>
      </c>
      <c r="D130" t="s">
        <v>57</v>
      </c>
      <c r="E130" s="18">
        <v>-449971.20000000001</v>
      </c>
      <c r="F130" s="18">
        <v>-446003.20000000001</v>
      </c>
      <c r="G130" s="18">
        <v>3968</v>
      </c>
      <c r="H130" s="19">
        <v>0.88183421516754901</v>
      </c>
    </row>
    <row r="131" spans="1:8" hidden="1" x14ac:dyDescent="0.3">
      <c r="A131" t="s">
        <v>74</v>
      </c>
      <c r="B131" t="s">
        <v>73</v>
      </c>
      <c r="C131" t="s">
        <v>58</v>
      </c>
      <c r="D131" t="s">
        <v>59</v>
      </c>
      <c r="E131" s="18">
        <v>-873180</v>
      </c>
      <c r="F131" s="18">
        <v>-865480</v>
      </c>
      <c r="G131" s="18">
        <v>7700</v>
      </c>
      <c r="H131" s="19">
        <v>0.88183421516754901</v>
      </c>
    </row>
    <row r="132" spans="1:8" hidden="1" x14ac:dyDescent="0.3">
      <c r="A132" t="s">
        <v>74</v>
      </c>
      <c r="B132" t="s">
        <v>73</v>
      </c>
      <c r="C132" t="s">
        <v>58</v>
      </c>
      <c r="D132" t="s">
        <v>60</v>
      </c>
      <c r="E132" s="18">
        <v>-283500</v>
      </c>
      <c r="F132" s="18">
        <v>-281000</v>
      </c>
      <c r="G132" s="18">
        <v>2500</v>
      </c>
      <c r="H132" s="19">
        <v>0.88183421516754901</v>
      </c>
    </row>
    <row r="133" spans="1:8" hidden="1" x14ac:dyDescent="0.3">
      <c r="A133" t="s">
        <v>74</v>
      </c>
      <c r="B133" t="s">
        <v>73</v>
      </c>
      <c r="C133" t="s">
        <v>58</v>
      </c>
      <c r="D133" t="s">
        <v>61</v>
      </c>
      <c r="E133" s="18">
        <v>-34020</v>
      </c>
      <c r="F133" s="18">
        <v>-33720</v>
      </c>
      <c r="G133" s="18">
        <v>300</v>
      </c>
      <c r="H133" s="19">
        <v>0.88183421516754901</v>
      </c>
    </row>
    <row r="134" spans="1:8" hidden="1" x14ac:dyDescent="0.3">
      <c r="A134" t="s">
        <v>74</v>
      </c>
      <c r="B134" t="s">
        <v>73</v>
      </c>
      <c r="C134" t="s">
        <v>58</v>
      </c>
      <c r="D134" t="s">
        <v>62</v>
      </c>
      <c r="E134" s="18">
        <v>-280098</v>
      </c>
      <c r="F134" s="18">
        <v>-277628</v>
      </c>
      <c r="G134" s="18">
        <v>2470</v>
      </c>
      <c r="H134" s="19">
        <v>0.88183421516754901</v>
      </c>
    </row>
    <row r="135" spans="1:8" hidden="1" x14ac:dyDescent="0.3">
      <c r="A135" t="s">
        <v>74</v>
      </c>
      <c r="B135" t="s">
        <v>73</v>
      </c>
      <c r="C135" t="s">
        <v>58</v>
      </c>
      <c r="D135" t="s">
        <v>63</v>
      </c>
      <c r="E135" s="18">
        <v>-17010</v>
      </c>
      <c r="F135" s="18">
        <v>-16860</v>
      </c>
      <c r="G135" s="18">
        <v>150</v>
      </c>
      <c r="H135" s="19">
        <v>0.88183421516754901</v>
      </c>
    </row>
    <row r="136" spans="1:8" hidden="1" x14ac:dyDescent="0.3">
      <c r="A136" t="s">
        <v>74</v>
      </c>
      <c r="B136" t="s">
        <v>73</v>
      </c>
      <c r="C136" t="s">
        <v>58</v>
      </c>
      <c r="D136" t="s">
        <v>64</v>
      </c>
      <c r="E136" s="18">
        <v>-114534</v>
      </c>
      <c r="F136" s="18">
        <v>-113524</v>
      </c>
      <c r="G136" s="18">
        <v>1010</v>
      </c>
      <c r="H136" s="19">
        <v>0.88183421516754901</v>
      </c>
    </row>
    <row r="137" spans="1:8" hidden="1" x14ac:dyDescent="0.3">
      <c r="A137" t="s">
        <v>74</v>
      </c>
      <c r="B137" t="s">
        <v>73</v>
      </c>
      <c r="C137" t="s">
        <v>58</v>
      </c>
      <c r="D137" t="s">
        <v>65</v>
      </c>
      <c r="E137" s="18">
        <v>-25000</v>
      </c>
      <c r="F137" s="18">
        <v>-25000</v>
      </c>
      <c r="G137" s="18">
        <v>0</v>
      </c>
      <c r="H137" s="19">
        <v>0</v>
      </c>
    </row>
    <row r="138" spans="1:8" x14ac:dyDescent="0.3">
      <c r="A138" t="s">
        <v>75</v>
      </c>
      <c r="B138" t="s">
        <v>73</v>
      </c>
      <c r="C138" t="s">
        <v>48</v>
      </c>
      <c r="D138" t="s">
        <v>49</v>
      </c>
      <c r="E138" s="18">
        <v>-2249856</v>
      </c>
      <c r="F138" s="18">
        <v>-2230016</v>
      </c>
      <c r="G138" s="18">
        <v>19840</v>
      </c>
      <c r="H138" s="19">
        <v>0.88183421516754901</v>
      </c>
    </row>
    <row r="139" spans="1:8" hidden="1" x14ac:dyDescent="0.3">
      <c r="A139" t="s">
        <v>75</v>
      </c>
      <c r="B139" t="s">
        <v>73</v>
      </c>
      <c r="C139" t="s">
        <v>48</v>
      </c>
      <c r="D139" t="s">
        <v>50</v>
      </c>
      <c r="E139" s="18">
        <v>-40000</v>
      </c>
      <c r="F139" s="18">
        <v>-40000</v>
      </c>
      <c r="G139" s="18">
        <v>0</v>
      </c>
      <c r="H139" s="19">
        <v>0</v>
      </c>
    </row>
    <row r="140" spans="1:8" hidden="1" x14ac:dyDescent="0.3">
      <c r="A140" t="s">
        <v>75</v>
      </c>
      <c r="B140" t="s">
        <v>73</v>
      </c>
      <c r="C140" t="s">
        <v>48</v>
      </c>
      <c r="D140" t="s">
        <v>51</v>
      </c>
      <c r="E140" s="18">
        <v>0</v>
      </c>
      <c r="F140" s="18">
        <v>0</v>
      </c>
      <c r="G140" s="18">
        <v>0</v>
      </c>
      <c r="H140" s="19">
        <v>0</v>
      </c>
    </row>
    <row r="141" spans="1:8" hidden="1" x14ac:dyDescent="0.3">
      <c r="A141" t="s">
        <v>75</v>
      </c>
      <c r="B141" t="s">
        <v>73</v>
      </c>
      <c r="C141" t="s">
        <v>48</v>
      </c>
      <c r="D141" t="s">
        <v>52</v>
      </c>
      <c r="E141" s="18">
        <v>-45000</v>
      </c>
      <c r="F141" s="18">
        <v>-45000</v>
      </c>
      <c r="G141" s="18">
        <v>0</v>
      </c>
      <c r="H141" s="19">
        <v>0</v>
      </c>
    </row>
    <row r="142" spans="1:8" hidden="1" x14ac:dyDescent="0.3">
      <c r="A142" t="s">
        <v>75</v>
      </c>
      <c r="B142" t="s">
        <v>73</v>
      </c>
      <c r="C142" t="s">
        <v>48</v>
      </c>
      <c r="D142" t="s">
        <v>53</v>
      </c>
      <c r="E142" s="18">
        <v>-70000</v>
      </c>
      <c r="F142" s="18">
        <v>-70000</v>
      </c>
      <c r="G142" s="18">
        <v>0</v>
      </c>
      <c r="H142" s="19">
        <v>0</v>
      </c>
    </row>
    <row r="143" spans="1:8" hidden="1" x14ac:dyDescent="0.3">
      <c r="A143" t="s">
        <v>75</v>
      </c>
      <c r="B143" t="s">
        <v>73</v>
      </c>
      <c r="C143" t="s">
        <v>48</v>
      </c>
      <c r="D143" t="s">
        <v>54</v>
      </c>
      <c r="E143" s="18">
        <v>-15000</v>
      </c>
      <c r="F143" s="18">
        <v>-15000</v>
      </c>
      <c r="G143" s="18">
        <v>0</v>
      </c>
      <c r="H143" s="19">
        <v>0</v>
      </c>
    </row>
    <row r="144" spans="1:8" hidden="1" x14ac:dyDescent="0.3">
      <c r="A144" t="s">
        <v>75</v>
      </c>
      <c r="B144" t="s">
        <v>73</v>
      </c>
      <c r="C144" t="s">
        <v>55</v>
      </c>
      <c r="D144" t="s">
        <v>56</v>
      </c>
      <c r="E144" s="18">
        <v>-179988.48000000001</v>
      </c>
      <c r="F144" s="18">
        <v>-178401.28</v>
      </c>
      <c r="G144" s="18">
        <v>1587.20000000001</v>
      </c>
      <c r="H144" s="19">
        <v>0.881834215167555</v>
      </c>
    </row>
    <row r="145" spans="1:8" hidden="1" x14ac:dyDescent="0.3">
      <c r="A145" t="s">
        <v>75</v>
      </c>
      <c r="B145" t="s">
        <v>73</v>
      </c>
      <c r="C145" t="s">
        <v>55</v>
      </c>
      <c r="D145" t="s">
        <v>57</v>
      </c>
      <c r="E145" s="18">
        <v>-449971.20000000001</v>
      </c>
      <c r="F145" s="18">
        <v>-446003.20000000001</v>
      </c>
      <c r="G145" s="18">
        <v>3968</v>
      </c>
      <c r="H145" s="19">
        <v>0.88183421516754901</v>
      </c>
    </row>
    <row r="146" spans="1:8" hidden="1" x14ac:dyDescent="0.3">
      <c r="A146" t="s">
        <v>75</v>
      </c>
      <c r="B146" t="s">
        <v>73</v>
      </c>
      <c r="C146" t="s">
        <v>58</v>
      </c>
      <c r="D146" t="s">
        <v>59</v>
      </c>
      <c r="E146" s="18">
        <v>-873180</v>
      </c>
      <c r="F146" s="18">
        <v>-865480</v>
      </c>
      <c r="G146" s="18">
        <v>7700</v>
      </c>
      <c r="H146" s="19">
        <v>0.88183421516754901</v>
      </c>
    </row>
    <row r="147" spans="1:8" hidden="1" x14ac:dyDescent="0.3">
      <c r="A147" t="s">
        <v>75</v>
      </c>
      <c r="B147" t="s">
        <v>73</v>
      </c>
      <c r="C147" t="s">
        <v>58</v>
      </c>
      <c r="D147" t="s">
        <v>60</v>
      </c>
      <c r="E147" s="18">
        <v>-283500</v>
      </c>
      <c r="F147" s="18">
        <v>-281000</v>
      </c>
      <c r="G147" s="18">
        <v>2500</v>
      </c>
      <c r="H147" s="19">
        <v>0.88183421516754901</v>
      </c>
    </row>
    <row r="148" spans="1:8" hidden="1" x14ac:dyDescent="0.3">
      <c r="A148" t="s">
        <v>75</v>
      </c>
      <c r="B148" t="s">
        <v>73</v>
      </c>
      <c r="C148" t="s">
        <v>58</v>
      </c>
      <c r="D148" t="s">
        <v>61</v>
      </c>
      <c r="E148" s="18">
        <v>-34020</v>
      </c>
      <c r="F148" s="18">
        <v>-33720</v>
      </c>
      <c r="G148" s="18">
        <v>300</v>
      </c>
      <c r="H148" s="19">
        <v>0.88183421516754901</v>
      </c>
    </row>
    <row r="149" spans="1:8" hidden="1" x14ac:dyDescent="0.3">
      <c r="A149" t="s">
        <v>75</v>
      </c>
      <c r="B149" t="s">
        <v>73</v>
      </c>
      <c r="C149" t="s">
        <v>58</v>
      </c>
      <c r="D149" t="s">
        <v>62</v>
      </c>
      <c r="E149" s="18">
        <v>-280098</v>
      </c>
      <c r="F149" s="18">
        <v>-277628</v>
      </c>
      <c r="G149" s="18">
        <v>2470</v>
      </c>
      <c r="H149" s="19">
        <v>0.88183421516754901</v>
      </c>
    </row>
    <row r="150" spans="1:8" hidden="1" x14ac:dyDescent="0.3">
      <c r="A150" t="s">
        <v>75</v>
      </c>
      <c r="B150" t="s">
        <v>73</v>
      </c>
      <c r="C150" t="s">
        <v>58</v>
      </c>
      <c r="D150" t="s">
        <v>63</v>
      </c>
      <c r="E150" s="18">
        <v>-17010</v>
      </c>
      <c r="F150" s="18">
        <v>-16860</v>
      </c>
      <c r="G150" s="18">
        <v>150</v>
      </c>
      <c r="H150" s="19">
        <v>0.88183421516754901</v>
      </c>
    </row>
    <row r="151" spans="1:8" hidden="1" x14ac:dyDescent="0.3">
      <c r="A151" t="s">
        <v>75</v>
      </c>
      <c r="B151" t="s">
        <v>73</v>
      </c>
      <c r="C151" t="s">
        <v>58</v>
      </c>
      <c r="D151" t="s">
        <v>64</v>
      </c>
      <c r="E151" s="18">
        <v>-114534</v>
      </c>
      <c r="F151" s="18">
        <v>-113524</v>
      </c>
      <c r="G151" s="18">
        <v>1010</v>
      </c>
      <c r="H151" s="19">
        <v>0.88183421516754901</v>
      </c>
    </row>
    <row r="152" spans="1:8" hidden="1" x14ac:dyDescent="0.3">
      <c r="A152" t="s">
        <v>75</v>
      </c>
      <c r="B152" t="s">
        <v>73</v>
      </c>
      <c r="C152" t="s">
        <v>58</v>
      </c>
      <c r="D152" t="s">
        <v>65</v>
      </c>
      <c r="E152" s="18">
        <v>-25000</v>
      </c>
      <c r="F152" s="18">
        <v>-25000</v>
      </c>
      <c r="G152" s="18">
        <v>0</v>
      </c>
      <c r="H152" s="19">
        <v>0</v>
      </c>
    </row>
    <row r="153" spans="1:8" x14ac:dyDescent="0.3">
      <c r="A153" t="s">
        <v>76</v>
      </c>
      <c r="B153" t="s">
        <v>73</v>
      </c>
      <c r="C153" t="s">
        <v>48</v>
      </c>
      <c r="D153" t="s">
        <v>49</v>
      </c>
      <c r="E153" s="18">
        <v>-2249856</v>
      </c>
      <c r="F153" s="18">
        <v>-2230016</v>
      </c>
      <c r="G153" s="18">
        <v>19840</v>
      </c>
      <c r="H153" s="19">
        <v>0.88183421516754901</v>
      </c>
    </row>
    <row r="154" spans="1:8" hidden="1" x14ac:dyDescent="0.3">
      <c r="A154" t="s">
        <v>76</v>
      </c>
      <c r="B154" t="s">
        <v>73</v>
      </c>
      <c r="C154" t="s">
        <v>48</v>
      </c>
      <c r="D154" t="s">
        <v>50</v>
      </c>
      <c r="E154" s="18">
        <v>-40000</v>
      </c>
      <c r="F154" s="18">
        <v>-40000</v>
      </c>
      <c r="G154" s="18">
        <v>0</v>
      </c>
      <c r="H154" s="19">
        <v>0</v>
      </c>
    </row>
    <row r="155" spans="1:8" hidden="1" x14ac:dyDescent="0.3">
      <c r="A155" t="s">
        <v>76</v>
      </c>
      <c r="B155" t="s">
        <v>73</v>
      </c>
      <c r="C155" t="s">
        <v>48</v>
      </c>
      <c r="D155" t="s">
        <v>51</v>
      </c>
      <c r="E155" s="18">
        <v>-1247400</v>
      </c>
      <c r="F155" s="18">
        <v>-1236400</v>
      </c>
      <c r="G155" s="18">
        <v>11000</v>
      </c>
      <c r="H155" s="19">
        <v>0.88183421516754901</v>
      </c>
    </row>
    <row r="156" spans="1:8" hidden="1" x14ac:dyDescent="0.3">
      <c r="A156" t="s">
        <v>76</v>
      </c>
      <c r="B156" t="s">
        <v>73</v>
      </c>
      <c r="C156" t="s">
        <v>48</v>
      </c>
      <c r="D156" t="s">
        <v>52</v>
      </c>
      <c r="E156" s="18">
        <v>-45000</v>
      </c>
      <c r="F156" s="18">
        <v>-45000</v>
      </c>
      <c r="G156" s="18">
        <v>0</v>
      </c>
      <c r="H156" s="19">
        <v>0</v>
      </c>
    </row>
    <row r="157" spans="1:8" hidden="1" x14ac:dyDescent="0.3">
      <c r="A157" t="s">
        <v>76</v>
      </c>
      <c r="B157" t="s">
        <v>73</v>
      </c>
      <c r="C157" t="s">
        <v>48</v>
      </c>
      <c r="D157" t="s">
        <v>53</v>
      </c>
      <c r="E157" s="18">
        <v>-70000</v>
      </c>
      <c r="F157" s="18">
        <v>-70000</v>
      </c>
      <c r="G157" s="18">
        <v>0</v>
      </c>
      <c r="H157" s="19">
        <v>0</v>
      </c>
    </row>
    <row r="158" spans="1:8" hidden="1" x14ac:dyDescent="0.3">
      <c r="A158" t="s">
        <v>76</v>
      </c>
      <c r="B158" t="s">
        <v>73</v>
      </c>
      <c r="C158" t="s">
        <v>48</v>
      </c>
      <c r="D158" t="s">
        <v>54</v>
      </c>
      <c r="E158" s="18">
        <v>-15000</v>
      </c>
      <c r="F158" s="18">
        <v>-15000</v>
      </c>
      <c r="G158" s="18">
        <v>0</v>
      </c>
      <c r="H158" s="19">
        <v>0</v>
      </c>
    </row>
    <row r="159" spans="1:8" hidden="1" x14ac:dyDescent="0.3">
      <c r="A159" t="s">
        <v>76</v>
      </c>
      <c r="B159" t="s">
        <v>73</v>
      </c>
      <c r="C159" t="s">
        <v>55</v>
      </c>
      <c r="D159" t="s">
        <v>56</v>
      </c>
      <c r="E159" s="18">
        <v>-179988.48000000001</v>
      </c>
      <c r="F159" s="18">
        <v>-178401.28</v>
      </c>
      <c r="G159" s="18">
        <v>1587.20000000001</v>
      </c>
      <c r="H159" s="19">
        <v>0.881834215167555</v>
      </c>
    </row>
    <row r="160" spans="1:8" hidden="1" x14ac:dyDescent="0.3">
      <c r="A160" t="s">
        <v>76</v>
      </c>
      <c r="B160" t="s">
        <v>73</v>
      </c>
      <c r="C160" t="s">
        <v>55</v>
      </c>
      <c r="D160" t="s">
        <v>57</v>
      </c>
      <c r="E160" s="18">
        <v>-449971.20000000001</v>
      </c>
      <c r="F160" s="18">
        <v>-446003.20000000001</v>
      </c>
      <c r="G160" s="18">
        <v>3968</v>
      </c>
      <c r="H160" s="19">
        <v>0.88183421516754901</v>
      </c>
    </row>
    <row r="161" spans="1:8" hidden="1" x14ac:dyDescent="0.3">
      <c r="A161" t="s">
        <v>76</v>
      </c>
      <c r="B161" t="s">
        <v>73</v>
      </c>
      <c r="C161" t="s">
        <v>58</v>
      </c>
      <c r="D161" t="s">
        <v>59</v>
      </c>
      <c r="E161" s="18">
        <v>-833490</v>
      </c>
      <c r="F161" s="18">
        <v>-826140</v>
      </c>
      <c r="G161" s="18">
        <v>7350</v>
      </c>
      <c r="H161" s="19">
        <v>0.88183421516754901</v>
      </c>
    </row>
    <row r="162" spans="1:8" hidden="1" x14ac:dyDescent="0.3">
      <c r="A162" t="s">
        <v>76</v>
      </c>
      <c r="B162" t="s">
        <v>73</v>
      </c>
      <c r="C162" t="s">
        <v>58</v>
      </c>
      <c r="D162" t="s">
        <v>60</v>
      </c>
      <c r="E162" s="18">
        <v>-283500</v>
      </c>
      <c r="F162" s="18">
        <v>-281000</v>
      </c>
      <c r="G162" s="18">
        <v>2500</v>
      </c>
      <c r="H162" s="19">
        <v>0.88183421516754901</v>
      </c>
    </row>
    <row r="163" spans="1:8" hidden="1" x14ac:dyDescent="0.3">
      <c r="A163" t="s">
        <v>76</v>
      </c>
      <c r="B163" t="s">
        <v>73</v>
      </c>
      <c r="C163" t="s">
        <v>58</v>
      </c>
      <c r="D163" t="s">
        <v>61</v>
      </c>
      <c r="E163" s="18">
        <v>-34020</v>
      </c>
      <c r="F163" s="18">
        <v>-33720</v>
      </c>
      <c r="G163" s="18">
        <v>300</v>
      </c>
      <c r="H163" s="19">
        <v>0.88183421516754901</v>
      </c>
    </row>
    <row r="164" spans="1:8" hidden="1" x14ac:dyDescent="0.3">
      <c r="A164" t="s">
        <v>76</v>
      </c>
      <c r="B164" t="s">
        <v>73</v>
      </c>
      <c r="C164" t="s">
        <v>58</v>
      </c>
      <c r="D164" t="s">
        <v>62</v>
      </c>
      <c r="E164" s="18">
        <v>-280098</v>
      </c>
      <c r="F164" s="18">
        <v>-277628</v>
      </c>
      <c r="G164" s="18">
        <v>2470</v>
      </c>
      <c r="H164" s="19">
        <v>0.88183421516754901</v>
      </c>
    </row>
    <row r="165" spans="1:8" hidden="1" x14ac:dyDescent="0.3">
      <c r="A165" t="s">
        <v>76</v>
      </c>
      <c r="B165" t="s">
        <v>73</v>
      </c>
      <c r="C165" t="s">
        <v>58</v>
      </c>
      <c r="D165" t="s">
        <v>63</v>
      </c>
      <c r="E165" s="18">
        <v>-17010</v>
      </c>
      <c r="F165" s="18">
        <v>-16860</v>
      </c>
      <c r="G165" s="18">
        <v>150</v>
      </c>
      <c r="H165" s="19">
        <v>0.88183421516754901</v>
      </c>
    </row>
    <row r="166" spans="1:8" hidden="1" x14ac:dyDescent="0.3">
      <c r="A166" t="s">
        <v>76</v>
      </c>
      <c r="B166" t="s">
        <v>73</v>
      </c>
      <c r="C166" t="s">
        <v>58</v>
      </c>
      <c r="D166" t="s">
        <v>64</v>
      </c>
      <c r="E166" s="18">
        <v>-114534</v>
      </c>
      <c r="F166" s="18">
        <v>-113524</v>
      </c>
      <c r="G166" s="18">
        <v>1010</v>
      </c>
      <c r="H166" s="19">
        <v>0.88183421516754901</v>
      </c>
    </row>
    <row r="167" spans="1:8" hidden="1" x14ac:dyDescent="0.3">
      <c r="A167" t="s">
        <v>76</v>
      </c>
      <c r="B167" t="s">
        <v>73</v>
      </c>
      <c r="C167" t="s">
        <v>58</v>
      </c>
      <c r="D167" t="s">
        <v>65</v>
      </c>
      <c r="E167" s="18">
        <v>-25000</v>
      </c>
      <c r="F167" s="18">
        <v>-25000</v>
      </c>
      <c r="G167" s="18">
        <v>0</v>
      </c>
      <c r="H167" s="19">
        <v>0</v>
      </c>
    </row>
    <row r="168" spans="1:8" x14ac:dyDescent="0.3">
      <c r="A168" t="s">
        <v>77</v>
      </c>
      <c r="B168" t="s">
        <v>73</v>
      </c>
      <c r="C168" t="s">
        <v>48</v>
      </c>
      <c r="D168" t="s">
        <v>49</v>
      </c>
      <c r="E168" s="18">
        <v>-2249856</v>
      </c>
      <c r="F168" s="18">
        <v>-2230016</v>
      </c>
      <c r="G168" s="18">
        <v>19840</v>
      </c>
      <c r="H168" s="19">
        <v>0.88183421516754901</v>
      </c>
    </row>
    <row r="169" spans="1:8" hidden="1" x14ac:dyDescent="0.3">
      <c r="A169" t="s">
        <v>77</v>
      </c>
      <c r="B169" t="s">
        <v>73</v>
      </c>
      <c r="C169" t="s">
        <v>48</v>
      </c>
      <c r="D169" t="s">
        <v>50</v>
      </c>
      <c r="E169" s="18">
        <v>-184000</v>
      </c>
      <c r="F169" s="18">
        <v>-184000</v>
      </c>
      <c r="G169" s="18">
        <v>0</v>
      </c>
      <c r="H169" s="19">
        <v>0</v>
      </c>
    </row>
    <row r="170" spans="1:8" hidden="1" x14ac:dyDescent="0.3">
      <c r="A170" t="s">
        <v>77</v>
      </c>
      <c r="B170" t="s">
        <v>73</v>
      </c>
      <c r="C170" t="s">
        <v>48</v>
      </c>
      <c r="D170" t="s">
        <v>51</v>
      </c>
      <c r="E170" s="18">
        <v>-1247400</v>
      </c>
      <c r="F170" s="18">
        <v>-1236400</v>
      </c>
      <c r="G170" s="18">
        <v>11000</v>
      </c>
      <c r="H170" s="19">
        <v>0.88183421516754901</v>
      </c>
    </row>
    <row r="171" spans="1:8" hidden="1" x14ac:dyDescent="0.3">
      <c r="A171" t="s">
        <v>77</v>
      </c>
      <c r="B171" t="s">
        <v>73</v>
      </c>
      <c r="C171" t="s">
        <v>48</v>
      </c>
      <c r="D171" t="s">
        <v>52</v>
      </c>
      <c r="E171" s="18">
        <v>-45000</v>
      </c>
      <c r="F171" s="18">
        <v>-45000</v>
      </c>
      <c r="G171" s="18">
        <v>0</v>
      </c>
      <c r="H171" s="19">
        <v>0</v>
      </c>
    </row>
    <row r="172" spans="1:8" hidden="1" x14ac:dyDescent="0.3">
      <c r="A172" t="s">
        <v>77</v>
      </c>
      <c r="B172" t="s">
        <v>73</v>
      </c>
      <c r="C172" t="s">
        <v>48</v>
      </c>
      <c r="D172" t="s">
        <v>53</v>
      </c>
      <c r="E172" s="18">
        <v>-70000</v>
      </c>
      <c r="F172" s="18">
        <v>-70000</v>
      </c>
      <c r="G172" s="18">
        <v>0</v>
      </c>
      <c r="H172" s="19">
        <v>0</v>
      </c>
    </row>
    <row r="173" spans="1:8" hidden="1" x14ac:dyDescent="0.3">
      <c r="A173" t="s">
        <v>77</v>
      </c>
      <c r="B173" t="s">
        <v>73</v>
      </c>
      <c r="C173" t="s">
        <v>48</v>
      </c>
      <c r="D173" t="s">
        <v>54</v>
      </c>
      <c r="E173" s="18">
        <v>-15000</v>
      </c>
      <c r="F173" s="18">
        <v>-15000</v>
      </c>
      <c r="G173" s="18">
        <v>0</v>
      </c>
      <c r="H173" s="19">
        <v>0</v>
      </c>
    </row>
    <row r="174" spans="1:8" hidden="1" x14ac:dyDescent="0.3">
      <c r="A174" t="s">
        <v>77</v>
      </c>
      <c r="B174" t="s">
        <v>73</v>
      </c>
      <c r="C174" t="s">
        <v>55</v>
      </c>
      <c r="D174" t="s">
        <v>56</v>
      </c>
      <c r="E174" s="18">
        <v>-179988.48000000001</v>
      </c>
      <c r="F174" s="18">
        <v>-178401.28</v>
      </c>
      <c r="G174" s="18">
        <v>1587.20000000001</v>
      </c>
      <c r="H174" s="19">
        <v>0.881834215167555</v>
      </c>
    </row>
    <row r="175" spans="1:8" hidden="1" x14ac:dyDescent="0.3">
      <c r="A175" t="s">
        <v>77</v>
      </c>
      <c r="B175" t="s">
        <v>73</v>
      </c>
      <c r="C175" t="s">
        <v>55</v>
      </c>
      <c r="D175" t="s">
        <v>57</v>
      </c>
      <c r="E175" s="18">
        <v>-449971.20000000001</v>
      </c>
      <c r="F175" s="18">
        <v>-446003.20000000001</v>
      </c>
      <c r="G175" s="18">
        <v>3968</v>
      </c>
      <c r="H175" s="19">
        <v>0.88183421516754901</v>
      </c>
    </row>
    <row r="176" spans="1:8" hidden="1" x14ac:dyDescent="0.3">
      <c r="A176" t="s">
        <v>77</v>
      </c>
      <c r="B176" t="s">
        <v>73</v>
      </c>
      <c r="C176" t="s">
        <v>58</v>
      </c>
      <c r="D176" t="s">
        <v>59</v>
      </c>
      <c r="E176" s="18">
        <v>-912870</v>
      </c>
      <c r="F176" s="18">
        <v>-904820</v>
      </c>
      <c r="G176" s="18">
        <v>8050</v>
      </c>
      <c r="H176" s="19">
        <v>0.88183421516754901</v>
      </c>
    </row>
    <row r="177" spans="1:8" hidden="1" x14ac:dyDescent="0.3">
      <c r="A177" t="s">
        <v>77</v>
      </c>
      <c r="B177" t="s">
        <v>73</v>
      </c>
      <c r="C177" t="s">
        <v>58</v>
      </c>
      <c r="D177" t="s">
        <v>60</v>
      </c>
      <c r="E177" s="18">
        <v>-283500</v>
      </c>
      <c r="F177" s="18">
        <v>-281000</v>
      </c>
      <c r="G177" s="18">
        <v>2500</v>
      </c>
      <c r="H177" s="19">
        <v>0.88183421516754901</v>
      </c>
    </row>
    <row r="178" spans="1:8" hidden="1" x14ac:dyDescent="0.3">
      <c r="A178" t="s">
        <v>77</v>
      </c>
      <c r="B178" t="s">
        <v>73</v>
      </c>
      <c r="C178" t="s">
        <v>58</v>
      </c>
      <c r="D178" t="s">
        <v>61</v>
      </c>
      <c r="E178" s="18">
        <v>-34020</v>
      </c>
      <c r="F178" s="18">
        <v>-33720</v>
      </c>
      <c r="G178" s="18">
        <v>300</v>
      </c>
      <c r="H178" s="19">
        <v>0.88183421516754901</v>
      </c>
    </row>
    <row r="179" spans="1:8" hidden="1" x14ac:dyDescent="0.3">
      <c r="A179" t="s">
        <v>77</v>
      </c>
      <c r="B179" t="s">
        <v>73</v>
      </c>
      <c r="C179" t="s">
        <v>58</v>
      </c>
      <c r="D179" t="s">
        <v>62</v>
      </c>
      <c r="E179" s="18">
        <v>-280098</v>
      </c>
      <c r="F179" s="18">
        <v>-277628</v>
      </c>
      <c r="G179" s="18">
        <v>2470</v>
      </c>
      <c r="H179" s="19">
        <v>0.88183421516754901</v>
      </c>
    </row>
    <row r="180" spans="1:8" hidden="1" x14ac:dyDescent="0.3">
      <c r="A180" t="s">
        <v>77</v>
      </c>
      <c r="B180" t="s">
        <v>73</v>
      </c>
      <c r="C180" t="s">
        <v>58</v>
      </c>
      <c r="D180" t="s">
        <v>63</v>
      </c>
      <c r="E180" s="18">
        <v>-17010</v>
      </c>
      <c r="F180" s="18">
        <v>-16860</v>
      </c>
      <c r="G180" s="18">
        <v>150</v>
      </c>
      <c r="H180" s="19">
        <v>0.88183421516754901</v>
      </c>
    </row>
    <row r="181" spans="1:8" hidden="1" x14ac:dyDescent="0.3">
      <c r="A181" t="s">
        <v>77</v>
      </c>
      <c r="B181" t="s">
        <v>73</v>
      </c>
      <c r="C181" t="s">
        <v>58</v>
      </c>
      <c r="D181" t="s">
        <v>64</v>
      </c>
      <c r="E181" s="18">
        <v>-114534</v>
      </c>
      <c r="F181" s="18">
        <v>-113524</v>
      </c>
      <c r="G181" s="18">
        <v>1010</v>
      </c>
      <c r="H181" s="19">
        <v>0.88183421516754901</v>
      </c>
    </row>
    <row r="182" spans="1:8" hidden="1" x14ac:dyDescent="0.3">
      <c r="A182" t="s">
        <v>77</v>
      </c>
      <c r="B182" t="s">
        <v>73</v>
      </c>
      <c r="C182" t="s">
        <v>58</v>
      </c>
      <c r="D182" t="s">
        <v>65</v>
      </c>
      <c r="E182" s="18">
        <v>-25000</v>
      </c>
      <c r="F182" s="18">
        <v>-25000</v>
      </c>
      <c r="G182" s="18">
        <v>0</v>
      </c>
      <c r="H182" s="19">
        <v>0</v>
      </c>
    </row>
  </sheetData>
  <autoFilter ref="A2:H182" xr:uid="{00000000-0001-0000-0100-000000000000}">
    <filterColumn colId="3">
      <filters>
        <filter val="033101 - Salários e ordenados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DRE_Mensal</vt:lpstr>
      <vt:lpstr>Dados_Brutos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Tayanne Lima</cp:lastModifiedBy>
  <cp:revision>0</cp:revision>
  <dcterms:created xsi:type="dcterms:W3CDTF">2026-07-12T23:19:16Z</dcterms:created>
  <dcterms:modified xsi:type="dcterms:W3CDTF">2026-07-13T00:00:07Z</dcterms:modified>
  <dc:language>en-US</dc:language>
</cp:coreProperties>
</file>